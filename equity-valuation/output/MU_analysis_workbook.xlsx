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Data" sheetId="1" state="visible" r:id="rId1"/>
    <sheet xmlns:r="http://schemas.openxmlformats.org/officeDocument/2006/relationships" name="Calc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64748B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MICRON TECHNOLOGY INC (MU) — Statement data ($m)</t>
        </is>
      </c>
    </row>
    <row r="2">
      <c r="B2" s="2" t="inlineStr">
        <is>
          <t>FY2024</t>
        </is>
      </c>
      <c r="C2" s="2" t="inlineStr">
        <is>
          <t>FY2025</t>
        </is>
      </c>
    </row>
    <row r="3">
      <c r="A3" t="inlineStr">
        <is>
          <t>Revenue</t>
        </is>
      </c>
      <c r="B3" s="3" t="n">
        <v>25111</v>
      </c>
      <c r="C3" s="3" t="n">
        <v>37378</v>
      </c>
    </row>
    <row r="4">
      <c r="A4" t="inlineStr">
        <is>
          <t>Cost of goods sold</t>
        </is>
      </c>
      <c r="B4" s="3" t="n">
        <v>19498</v>
      </c>
      <c r="C4" s="3" t="n">
        <v>22505</v>
      </c>
    </row>
    <row r="5">
      <c r="A5" t="inlineStr">
        <is>
          <t>Gross profit</t>
        </is>
      </c>
      <c r="B5" s="3" t="n">
        <v>5613</v>
      </c>
      <c r="C5" s="3" t="n">
        <v>14873</v>
      </c>
    </row>
    <row r="6">
      <c r="A6" t="inlineStr">
        <is>
          <t>Operating income (EBIT)</t>
        </is>
      </c>
      <c r="B6" s="3" t="n">
        <v>1304</v>
      </c>
      <c r="C6" s="3" t="n">
        <v>9770</v>
      </c>
    </row>
    <row r="7">
      <c r="A7" t="inlineStr">
        <is>
          <t>Depreciation &amp; amortisation</t>
        </is>
      </c>
      <c r="B7" s="3" t="n">
        <v>7780</v>
      </c>
      <c r="C7" s="3" t="n">
        <v>8352</v>
      </c>
    </row>
    <row r="8">
      <c r="A8" t="inlineStr">
        <is>
          <t>SG&amp;A</t>
        </is>
      </c>
      <c r="B8" s="3" t="n">
        <v>1129</v>
      </c>
      <c r="C8" s="3" t="n">
        <v>1205</v>
      </c>
    </row>
    <row r="9">
      <c r="A9" t="inlineStr">
        <is>
          <t>Net income</t>
        </is>
      </c>
      <c r="B9" s="3" t="n">
        <v>778</v>
      </c>
      <c r="C9" s="3" t="n">
        <v>8539</v>
      </c>
    </row>
    <row r="10">
      <c r="A10" t="inlineStr">
        <is>
          <t>Cash from operations</t>
        </is>
      </c>
      <c r="B10" s="3" t="n">
        <v>8507</v>
      </c>
      <c r="C10" s="3" t="n">
        <v>17525</v>
      </c>
    </row>
    <row r="11">
      <c r="A11" t="inlineStr">
        <is>
          <t>Capex</t>
        </is>
      </c>
      <c r="B11" s="3" t="n">
        <v>8386</v>
      </c>
      <c r="C11" s="3" t="n">
        <v>15857</v>
      </c>
    </row>
    <row r="12">
      <c r="A12" t="inlineStr">
        <is>
          <t>Total assets</t>
        </is>
      </c>
      <c r="B12" s="3" t="n">
        <v>69416</v>
      </c>
      <c r="C12" s="3" t="n">
        <v>82798</v>
      </c>
    </row>
    <row r="13">
      <c r="A13" t="inlineStr">
        <is>
          <t>Current assets</t>
        </is>
      </c>
      <c r="B13" s="3" t="n">
        <v>24372</v>
      </c>
      <c r="C13" s="3" t="n">
        <v>28841</v>
      </c>
    </row>
    <row r="14">
      <c r="A14" t="inlineStr">
        <is>
          <t>Current liabilities</t>
        </is>
      </c>
      <c r="B14" s="3" t="n">
        <v>9248</v>
      </c>
      <c r="C14" s="3" t="n">
        <v>11454</v>
      </c>
    </row>
    <row r="15">
      <c r="A15" t="inlineStr">
        <is>
          <t>Total liabilities</t>
        </is>
      </c>
      <c r="B15" s="3" t="n">
        <v>24285</v>
      </c>
      <c r="C15" s="3" t="n">
        <v>28633</v>
      </c>
    </row>
    <row r="16">
      <c r="A16" t="inlineStr">
        <is>
          <t>Shareholders' equity</t>
        </is>
      </c>
      <c r="B16" s="3" t="n">
        <v>45131</v>
      </c>
      <c r="C16" s="3" t="n">
        <v>54165</v>
      </c>
    </row>
    <row r="17">
      <c r="A17" t="inlineStr">
        <is>
          <t>Retained earnings</t>
        </is>
      </c>
      <c r="B17" s="3" t="n">
        <v>40877</v>
      </c>
      <c r="C17" s="3" t="n">
        <v>48583</v>
      </c>
    </row>
    <row r="18">
      <c r="A18" t="inlineStr">
        <is>
          <t>Receivables</t>
        </is>
      </c>
      <c r="B18" s="3" t="n">
        <v>5419</v>
      </c>
      <c r="C18" s="3" t="n">
        <v>7163</v>
      </c>
    </row>
    <row r="19">
      <c r="A19" t="inlineStr">
        <is>
          <t>PP&amp;E (net)</t>
        </is>
      </c>
      <c r="B19" s="3" t="n"/>
      <c r="C19" s="3" t="n"/>
    </row>
    <row r="20">
      <c r="A20" t="inlineStr">
        <is>
          <t>Long-term debt</t>
        </is>
      </c>
      <c r="B20" s="3" t="n">
        <v>11343</v>
      </c>
      <c r="C20" s="3" t="n">
        <v>11533</v>
      </c>
    </row>
    <row r="21">
      <c r="A21" t="inlineStr">
        <is>
          <t>Short-term debt</t>
        </is>
      </c>
      <c r="B21" s="3" t="n">
        <v>431</v>
      </c>
      <c r="C21" s="3" t="n">
        <v>560</v>
      </c>
    </row>
    <row r="22">
      <c r="A22" t="inlineStr">
        <is>
          <t>Cash &amp; equivalents</t>
        </is>
      </c>
      <c r="B22" s="3" t="n">
        <v>7041</v>
      </c>
      <c r="C22" s="3" t="n">
        <v>9642</v>
      </c>
    </row>
    <row r="23">
      <c r="A23" t="inlineStr">
        <is>
          <t>Diluted shares (m)</t>
        </is>
      </c>
      <c r="B23" s="3" t="n">
        <v>1118</v>
      </c>
      <c r="C23" s="3" t="n">
        <v>1125</v>
      </c>
    </row>
    <row r="25">
      <c r="A25" t="inlineStr">
        <is>
          <t>Market cap ($m)</t>
        </is>
      </c>
      <c r="B25" t="n">
        <v>1275738.75</v>
      </c>
    </row>
    <row r="26">
      <c r="A26" t="inlineStr">
        <is>
          <t>WACC</t>
        </is>
      </c>
      <c r="B26" s="4" t="n">
        <v>0.142</v>
      </c>
    </row>
    <row r="27">
      <c r="A27" t="inlineStr">
        <is>
          <t>Tax rate</t>
        </is>
      </c>
      <c r="B27" s="4" t="n">
        <v>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0" customWidth="1" min="3" max="3"/>
  </cols>
  <sheetData>
    <row r="1">
      <c r="A1" s="1" t="inlineStr">
        <is>
          <t>Calculations (live formulas → Statement Data)</t>
        </is>
      </c>
    </row>
    <row r="3">
      <c r="A3" s="5" t="inlineStr">
        <is>
          <t>PROFITABILITY</t>
        </is>
      </c>
      <c r="B3" s="6" t="n"/>
      <c r="C3" s="6" t="n"/>
    </row>
    <row r="4">
      <c r="A4" t="inlineStr">
        <is>
          <t>Gross margin</t>
        </is>
      </c>
      <c r="B4" s="4">
        <f>IFERROR('Statement Data'!C5/'Statement Data'!C3,"n/a")</f>
        <v/>
      </c>
      <c r="C4" s="7" t="inlineStr">
        <is>
          <t>Gross profit / Revenue</t>
        </is>
      </c>
    </row>
    <row r="5">
      <c r="A5" t="inlineStr">
        <is>
          <t>Operating margin</t>
        </is>
      </c>
      <c r="B5" s="4">
        <f>IFERROR('Statement Data'!C6/'Statement Data'!C3,"n/a")</f>
        <v/>
      </c>
      <c r="C5" s="7" t="inlineStr">
        <is>
          <t>EBIT / Revenue</t>
        </is>
      </c>
    </row>
    <row r="6">
      <c r="A6" t="inlineStr">
        <is>
          <t>Net margin</t>
        </is>
      </c>
      <c r="B6" s="4">
        <f>IFERROR('Statement Data'!C9/'Statement Data'!C3,"n/a")</f>
        <v/>
      </c>
      <c r="C6" s="7" t="inlineStr">
        <is>
          <t>Net income / Revenue</t>
        </is>
      </c>
    </row>
    <row r="7">
      <c r="A7" t="inlineStr">
        <is>
          <t>ROA</t>
        </is>
      </c>
      <c r="B7" s="4">
        <f>IFERROR('Statement Data'!C9/'Statement Data'!C12,"n/a")</f>
        <v/>
      </c>
      <c r="C7" s="7" t="inlineStr">
        <is>
          <t>Net income / Total assets</t>
        </is>
      </c>
    </row>
    <row r="8">
      <c r="A8" t="inlineStr">
        <is>
          <t>ROE</t>
        </is>
      </c>
      <c r="B8" s="4">
        <f>IFERROR('Statement Data'!C9/'Statement Data'!C16,"n/a")</f>
        <v/>
      </c>
      <c r="C8" s="7" t="inlineStr">
        <is>
          <t>Net income / Equity</t>
        </is>
      </c>
    </row>
    <row r="9">
      <c r="A9" s="5" t="inlineStr">
        <is>
          <t>DUPONT  (ROE = margin x turnover x leverage)</t>
        </is>
      </c>
      <c r="B9" s="6" t="n"/>
      <c r="C9" s="6" t="n"/>
    </row>
    <row r="10">
      <c r="A10" t="inlineStr">
        <is>
          <t>Net margin</t>
        </is>
      </c>
      <c r="B10" s="4">
        <f>IFERROR('Statement Data'!C9/'Statement Data'!C3,"n/a")</f>
        <v/>
      </c>
    </row>
    <row r="11">
      <c r="A11" t="inlineStr">
        <is>
          <t>Asset turnover</t>
        </is>
      </c>
      <c r="B11" s="8">
        <f>IFERROR('Statement Data'!C3/'Statement Data'!C12,"n/a")</f>
        <v/>
      </c>
      <c r="C11" s="7" t="inlineStr">
        <is>
          <t>Revenue / Total assets</t>
        </is>
      </c>
    </row>
    <row r="12">
      <c r="A12" t="inlineStr">
        <is>
          <t>Equity multiplier</t>
        </is>
      </c>
      <c r="B12" s="8">
        <f>IFERROR('Statement Data'!C12/'Statement Data'!C16,"n/a")</f>
        <v/>
      </c>
      <c r="C12" s="7" t="inlineStr">
        <is>
          <t>Total assets / Equity</t>
        </is>
      </c>
    </row>
    <row r="13">
      <c r="A13" t="inlineStr">
        <is>
          <t>ROE (DuPont)</t>
        </is>
      </c>
      <c r="B13" s="4">
        <f>IFERROR(B10*B11*B12,"n/a")</f>
        <v/>
      </c>
      <c r="C13" s="7">
        <f> the three above multiplied</f>
        <v/>
      </c>
    </row>
    <row r="14">
      <c r="A14" s="5" t="inlineStr">
        <is>
          <t>VALUE CREATION</t>
        </is>
      </c>
      <c r="B14" s="6" t="n"/>
      <c r="C14" s="6" t="n"/>
    </row>
    <row r="15">
      <c r="A15" t="inlineStr">
        <is>
          <t>ROIC</t>
        </is>
      </c>
      <c r="B15" s="4">
        <f>IFERROR('Statement Data'!C6*(1-'Statement Data'!B27)/('Statement Data'!C20+'Statement Data'!C21+'Statement Data'!C16-'Statement Data'!C22),"n/a")</f>
        <v/>
      </c>
      <c r="C15" s="7" t="inlineStr">
        <is>
          <t>NOPAT / (total debt + equity - cash)</t>
        </is>
      </c>
    </row>
    <row r="16">
      <c r="A16" t="inlineStr">
        <is>
          <t>WACC</t>
        </is>
      </c>
      <c r="B16" s="4">
        <f>'Statement Data'!B26</f>
        <v/>
      </c>
      <c r="C16" s="7" t="inlineStr">
        <is>
          <t>cost of capital (input)</t>
        </is>
      </c>
    </row>
    <row r="17">
      <c r="A17" t="inlineStr">
        <is>
          <t>ROIC - WACC spread</t>
        </is>
      </c>
      <c r="B17" s="4">
        <f>IFERROR(B15-'Statement Data'!B26,"n/a")</f>
        <v/>
      </c>
      <c r="C17" s="7" t="inlineStr">
        <is>
          <t>&gt;0 = creates value</t>
        </is>
      </c>
    </row>
    <row r="18">
      <c r="A18" s="5" t="inlineStr">
        <is>
          <t>BALANCE-SHEET HEALTH</t>
        </is>
      </c>
      <c r="B18" s="6" t="n"/>
      <c r="C18" s="6" t="n"/>
    </row>
    <row r="19">
      <c r="A19" t="inlineStr">
        <is>
          <t>Current ratio</t>
        </is>
      </c>
      <c r="B19" s="8">
        <f>IFERROR('Statement Data'!C13/'Statement Data'!C14,"n/a")</f>
        <v/>
      </c>
    </row>
    <row r="20">
      <c r="A20" t="inlineStr">
        <is>
          <t>LT debt / Equity</t>
        </is>
      </c>
      <c r="B20" s="8">
        <f>IFERROR('Statement Data'!C20/'Statement Data'!C16,"n/a")</f>
        <v/>
      </c>
    </row>
    <row r="21">
      <c r="A21" t="inlineStr">
        <is>
          <t>Net debt / EBITDA</t>
        </is>
      </c>
      <c r="B21" s="8">
        <f>IFERROR(('Statement Data'!C20+'Statement Data'!C21-'Statement Data'!C22)/('Statement Data'!C6+'Statement Data'!C7),"n/a")</f>
        <v/>
      </c>
    </row>
    <row r="22">
      <c r="A22" s="5" t="inlineStr">
        <is>
          <t>PIOTROSKI F-SCORE  (1 point each)</t>
        </is>
      </c>
      <c r="B22" s="6" t="n"/>
      <c r="C22" s="6" t="n"/>
    </row>
    <row r="23">
      <c r="A23" t="inlineStr">
        <is>
          <t>Positive ROA</t>
        </is>
      </c>
      <c r="B23" s="9">
        <f>IFERROR(IF('Statement Data'!C9/'Statement Data'!C12&gt;0,1,0),0)</f>
        <v/>
      </c>
      <c r="C23" s="7" t="inlineStr">
        <is>
          <t>profitable on assets</t>
        </is>
      </c>
    </row>
    <row r="24">
      <c r="A24" t="inlineStr">
        <is>
          <t>Positive CFO</t>
        </is>
      </c>
      <c r="B24" s="9">
        <f>IF('Statement Data'!C10&gt;0,1,0)</f>
        <v/>
      </c>
      <c r="C24" s="7" t="inlineStr">
        <is>
          <t>operating cash positive</t>
        </is>
      </c>
    </row>
    <row r="25">
      <c r="A25" t="inlineStr">
        <is>
          <t>Rising ROA</t>
        </is>
      </c>
      <c r="B25" s="9">
        <f>IFERROR(IF('Statement Data'!C9/'Statement Data'!C12&gt;'Statement Data'!B9/'Statement Data'!B12,1,0),0)</f>
        <v/>
      </c>
    </row>
    <row r="26">
      <c r="A26" t="inlineStr">
        <is>
          <t>CFO &gt; Net income</t>
        </is>
      </c>
      <c r="B26" s="9">
        <f>IFERROR(IF('Statement Data'!C10/'Statement Data'!C12&gt;'Statement Data'!C9/'Statement Data'!C12,1,0),0)</f>
        <v/>
      </c>
      <c r="C26" s="7" t="inlineStr">
        <is>
          <t>accrual quality</t>
        </is>
      </c>
    </row>
    <row r="27">
      <c r="A27" t="inlineStr">
        <is>
          <t>Lower leverage</t>
        </is>
      </c>
      <c r="B27" s="9">
        <f>IFERROR(IF('Statement Data'!C20/'Statement Data'!C12&lt;'Statement Data'!B20/'Statement Data'!B12,1,0),0)</f>
        <v/>
      </c>
    </row>
    <row r="28">
      <c r="A28" t="inlineStr">
        <is>
          <t>Higher current ratio</t>
        </is>
      </c>
      <c r="B28" s="9">
        <f>IFERROR(IF('Statement Data'!C13/'Statement Data'!C14&gt;'Statement Data'!B13/'Statement Data'!B14,1,0),0)</f>
        <v/>
      </c>
    </row>
    <row r="29">
      <c r="A29" t="inlineStr">
        <is>
          <t>No dilution</t>
        </is>
      </c>
      <c r="B29" s="9">
        <f>IFERROR(IF('Statement Data'!C23&lt;='Statement Data'!B23*1.001,1,0),0)</f>
        <v/>
      </c>
      <c r="C29" s="7" t="inlineStr">
        <is>
          <t>shares not up</t>
        </is>
      </c>
    </row>
    <row r="30">
      <c r="A30" t="inlineStr">
        <is>
          <t>Higher gross margin</t>
        </is>
      </c>
      <c r="B30" s="9">
        <f>IFERROR(IF('Statement Data'!C5/'Statement Data'!C3&gt;'Statement Data'!B5/'Statement Data'!B3,1,0),0)</f>
        <v/>
      </c>
    </row>
    <row r="31">
      <c r="A31" t="inlineStr">
        <is>
          <t>Higher asset turnover</t>
        </is>
      </c>
      <c r="B31" s="9">
        <f>IFERROR(IF('Statement Data'!C3/'Statement Data'!C12&gt;'Statement Data'!B3/'Statement Data'!B12,1,0),0)</f>
        <v/>
      </c>
    </row>
    <row r="32">
      <c r="A32" s="10" t="inlineStr">
        <is>
          <t>F-Score (/9)</t>
        </is>
      </c>
      <c r="B32" s="9">
        <f>SUM(B23:B31)</f>
        <v/>
      </c>
      <c r="C32" s="7" t="inlineStr">
        <is>
          <t>7-9 strong, 0-3 weak</t>
        </is>
      </c>
    </row>
    <row r="33">
      <c r="A33" s="5" t="inlineStr">
        <is>
          <t>ALTMAN Z-SCORE</t>
        </is>
      </c>
      <c r="B33" s="6" t="n"/>
      <c r="C33" s="6" t="n"/>
    </row>
    <row r="34">
      <c r="A34" t="inlineStr">
        <is>
          <t>Altman Z</t>
        </is>
      </c>
      <c r="B34" s="8">
        <f>IFERROR(1.2*('Statement Data'!C13-'Statement Data'!C14)/'Statement Data'!C12+1.4*'Statement Data'!C17/'Statement Data'!C12+3.3*'Statement Data'!C6/'Statement Data'!C12+0.6*'Statement Data'!B25/'Statement Data'!C15+'Statement Data'!C3/'Statement Data'!C12,"n/a")</f>
        <v/>
      </c>
      <c r="C34" s="7" t="inlineStr">
        <is>
          <t>&gt;2.99 safe, &lt;1.81 distress</t>
        </is>
      </c>
    </row>
    <row r="35">
      <c r="A35" s="5" t="inlineStr">
        <is>
          <t>BENEISH M-SCORE  (&gt;-1.78 = possible manipulation)</t>
        </is>
      </c>
      <c r="B35" s="6" t="n"/>
      <c r="C35" s="6" t="n"/>
    </row>
    <row r="36">
      <c r="A36" t="inlineStr">
        <is>
          <t>DSRI (receivables)</t>
        </is>
      </c>
      <c r="B36" s="8">
        <f>IFERROR(('Statement Data'!C18/'Statement Data'!C3)/('Statement Data'!B18/'Statement Data'!B3),"n/a")</f>
        <v/>
      </c>
    </row>
    <row r="37">
      <c r="A37" t="inlineStr">
        <is>
          <t>GMI (gross margin)</t>
        </is>
      </c>
      <c r="B37" s="8">
        <f>IFERROR(('Statement Data'!B5/'Statement Data'!B3)/('Statement Data'!C5/'Statement Data'!C3),"n/a")</f>
        <v/>
      </c>
    </row>
    <row r="38">
      <c r="A38" t="inlineStr">
        <is>
          <t>AQI (asset quality)</t>
        </is>
      </c>
      <c r="B38" s="8">
        <f>IFERROR((1-('Statement Data'!C13+'Statement Data'!C19)/'Statement Data'!C12)/(1-('Statement Data'!B13+'Statement Data'!B19)/'Statement Data'!B12),"n/a")</f>
        <v/>
      </c>
    </row>
    <row r="39">
      <c r="A39" t="inlineStr">
        <is>
          <t>SGI (sales growth)</t>
        </is>
      </c>
      <c r="B39" s="8">
        <f>IFERROR('Statement Data'!C3/'Statement Data'!B3,"n/a")</f>
        <v/>
      </c>
    </row>
    <row r="40">
      <c r="A40" t="inlineStr">
        <is>
          <t>DEPI (depreciation)</t>
        </is>
      </c>
      <c r="B40" s="8">
        <f>IFERROR(('Statement Data'!B7/('Statement Data'!B7+'Statement Data'!B19))/('Statement Data'!C7/('Statement Data'!C7+'Statement Data'!C19)),"n/a")</f>
        <v/>
      </c>
    </row>
    <row r="41">
      <c r="A41" t="inlineStr">
        <is>
          <t>SGAI (SG&amp;A)</t>
        </is>
      </c>
      <c r="B41" s="8">
        <f>IFERROR(('Statement Data'!C8/'Statement Data'!C3)/('Statement Data'!B8/'Statement Data'!B3),"n/a")</f>
        <v/>
      </c>
    </row>
    <row r="42">
      <c r="A42" t="inlineStr">
        <is>
          <t>LVGI (leverage)</t>
        </is>
      </c>
      <c r="B42" s="8">
        <f>IFERROR(('Statement Data'!C15/'Statement Data'!C12)/('Statement Data'!B15/'Statement Data'!B12),"n/a")</f>
        <v/>
      </c>
    </row>
    <row r="43">
      <c r="A43" t="inlineStr">
        <is>
          <t>TATA (accruals)</t>
        </is>
      </c>
      <c r="B43" s="8">
        <f>IFERROR(('Statement Data'!C9-'Statement Data'!C10)/'Statement Data'!C12,"n/a")</f>
        <v/>
      </c>
    </row>
    <row r="44">
      <c r="A44" s="10" t="inlineStr">
        <is>
          <t>M-Score</t>
        </is>
      </c>
      <c r="B44" s="8">
        <f>IFERROR(-4.84+0.92*B36+0.528*B37+0.404*B38+0.892*B39+0.115*B40-0.172*B41+4.679*B43-0.327*B42,"n/a")</f>
        <v/>
      </c>
      <c r="C44" s="7" t="inlineStr">
        <is>
          <t>Beneish 1999</t>
        </is>
      </c>
    </row>
    <row r="45">
      <c r="A45" s="5" t="inlineStr">
        <is>
          <t>EARNINGS QUALITY</t>
        </is>
      </c>
      <c r="B45" s="6" t="n"/>
      <c r="C45" s="6" t="n"/>
    </row>
    <row r="46">
      <c r="A46" t="inlineStr">
        <is>
          <t>Sloan accrual ratio</t>
        </is>
      </c>
      <c r="B46" s="8">
        <f>IFERROR(('Statement Data'!C9-'Statement Data'!C10)/'Statement Data'!C12,"n/a")</f>
        <v/>
      </c>
      <c r="C46" s="7" t="inlineStr">
        <is>
          <t>&gt;0.1 low quality</t>
        </is>
      </c>
    </row>
    <row r="47">
      <c r="A47" s="5" t="inlineStr">
        <is>
          <t>VERDICT</t>
        </is>
      </c>
      <c r="B47" s="6" t="n"/>
      <c r="C47" s="6" t="n"/>
    </row>
    <row r="48">
      <c r="A48" t="inlineStr">
        <is>
          <t>Recommendation</t>
        </is>
      </c>
      <c r="B48" t="inlineStr">
        <is>
          <t>"HOLD  (score -1)"</t>
        </is>
      </c>
    </row>
    <row r="49">
      <c r="A49" t="inlineStr">
        <is>
          <t>Reverse-DCF implied growth</t>
        </is>
      </c>
      <c r="B49" s="4" t="inlineStr">
        <is>
          <t>n/a</t>
        </is>
      </c>
      <c r="C49" s="7" t="inlineStr">
        <is>
          <t>growth the price implies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2026-06-20T00:54:11Z</dcterms:created>
  <dcterms:modified xmlns:dcterms="http://purl.org/dc/terms/" xmlns:xsi="http://www.w3.org/2001/XMLSchema-instance" xsi:type="dcterms:W3CDTF">2026-06-20T00:54:11Z</dcterms:modified>
</cp:coreProperties>
</file>