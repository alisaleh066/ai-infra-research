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#,##0;(#,##0)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color rgb="000F172A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4" fillId="0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MICRON TECHNOLOGY INC (MU) — Valuation Assumptions</t>
        </is>
      </c>
    </row>
    <row r="2">
      <c r="A2" s="2" t="inlineStr">
        <is>
          <t>Editable inputs on this tab. Fundamentals from SEC EDGAR; market/assumptions flagged.</t>
        </is>
      </c>
    </row>
    <row r="4">
      <c r="A4" s="3" t="inlineStr">
        <is>
          <t>Tax rate [ASSUMPTION]</t>
        </is>
      </c>
      <c r="B4" s="4" t="n">
        <v>0.21</v>
      </c>
    </row>
    <row r="5">
      <c r="A5" s="3" t="inlineStr">
        <is>
          <t>Risk-free rate [ASSUMPTION]</t>
        </is>
      </c>
      <c r="B5" s="4" t="n">
        <v>0.043</v>
      </c>
    </row>
    <row r="6">
      <c r="A6" s="3" t="inlineStr">
        <is>
          <t>Equity risk premium [ASSUMPTION]</t>
        </is>
      </c>
      <c r="B6" s="4" t="n">
        <v>0.05</v>
      </c>
    </row>
    <row r="7">
      <c r="A7" s="3" t="inlineStr">
        <is>
          <t>Beta</t>
        </is>
      </c>
      <c r="B7" s="5" t="n">
        <v>2</v>
      </c>
    </row>
    <row r="8">
      <c r="A8" s="3" t="inlineStr">
        <is>
          <t>Pre-tax cost of debt [ASSUMPTION]</t>
        </is>
      </c>
      <c r="B8" s="4" t="n">
        <v>0.05</v>
      </c>
    </row>
    <row r="9">
      <c r="A9" s="3" t="inlineStr">
        <is>
          <t>Share price (USD)</t>
        </is>
      </c>
      <c r="B9" s="6" t="n">
        <v>1133.99</v>
      </c>
    </row>
    <row r="10">
      <c r="A10" s="3" t="inlineStr">
        <is>
          <t>Shares outstanding (m)</t>
        </is>
      </c>
      <c r="B10" s="7" t="n">
        <v>1125</v>
      </c>
    </row>
    <row r="11">
      <c r="A11" s="3" t="inlineStr">
        <is>
          <t>Terminal growth [ASSUMPTION]</t>
        </is>
      </c>
      <c r="B11" s="4" t="n">
        <v>0.025</v>
      </c>
    </row>
    <row r="12">
      <c r="A12" s="3" t="inlineStr">
        <is>
          <t>D&amp;A (% revenue)</t>
        </is>
      </c>
      <c r="B12" s="4" t="n">
        <v>0.285</v>
      </c>
    </row>
    <row r="13">
      <c r="A13" s="3" t="inlineStr">
        <is>
          <t>Capex (% revenue)</t>
        </is>
      </c>
      <c r="B13" s="4" t="n">
        <v>0.3447</v>
      </c>
    </row>
    <row r="14">
      <c r="A14" s="3" t="inlineStr">
        <is>
          <t>Incr. NWC (% of rev change) [ASSUMPTION]</t>
        </is>
      </c>
      <c r="B14" s="4" t="n">
        <v>0.05</v>
      </c>
    </row>
    <row r="15">
      <c r="A15" s="3" t="inlineStr">
        <is>
          <t>Total debt ($m) — EDGAR</t>
        </is>
      </c>
      <c r="B15" s="7" t="n">
        <v>12093</v>
      </c>
    </row>
    <row r="16">
      <c r="A16" s="3" t="inlineStr">
        <is>
          <t>Cash ($m) — EDGAR</t>
        </is>
      </c>
      <c r="B16" s="7" t="n">
        <v>9642</v>
      </c>
    </row>
    <row r="18">
      <c r="A18" s="8" t="inlineStr">
        <is>
          <t>Revenue growth Yr1–Yr5 [ASSUMPTION]</t>
        </is>
      </c>
    </row>
    <row r="19">
      <c r="A19" s="3" t="inlineStr">
        <is>
          <t xml:space="preserve">  growth Yr1</t>
        </is>
      </c>
      <c r="B19" s="4" t="n">
        <v>0.06710000000000001</v>
      </c>
    </row>
    <row r="20">
      <c r="A20" s="3" t="inlineStr">
        <is>
          <t xml:space="preserve">  growth Yr2</t>
        </is>
      </c>
      <c r="B20" s="4" t="n">
        <v>0.0566</v>
      </c>
    </row>
    <row r="21">
      <c r="A21" s="3" t="inlineStr">
        <is>
          <t xml:space="preserve">  growth Yr3</t>
        </is>
      </c>
      <c r="B21" s="4" t="n">
        <v>0.0461</v>
      </c>
    </row>
    <row r="22">
      <c r="A22" s="3" t="inlineStr">
        <is>
          <t xml:space="preserve">  growth Yr4</t>
        </is>
      </c>
      <c r="B22" s="4" t="n">
        <v>0.0355</v>
      </c>
    </row>
    <row r="23">
      <c r="A23" s="3" t="inlineStr">
        <is>
          <t xml:space="preserve">  growth Yr5</t>
        </is>
      </c>
      <c r="B23" s="4" t="n">
        <v>0.025</v>
      </c>
    </row>
    <row r="25">
      <c r="A25" s="8" t="inlineStr">
        <is>
          <t>EBIT margin Yr1–Yr5 [ASSUMPTION]</t>
        </is>
      </c>
    </row>
    <row r="26">
      <c r="A26" s="3" t="inlineStr">
        <is>
          <t xml:space="preserve">  margin Yr1</t>
        </is>
      </c>
      <c r="B26" s="4" t="n">
        <v>0.1382</v>
      </c>
    </row>
    <row r="27">
      <c r="A27" s="3" t="inlineStr">
        <is>
          <t xml:space="preserve">  margin Yr2</t>
        </is>
      </c>
      <c r="B27" s="4" t="n">
        <v>0.1382</v>
      </c>
    </row>
    <row r="28">
      <c r="A28" s="3" t="inlineStr">
        <is>
          <t xml:space="preserve">  margin Yr3</t>
        </is>
      </c>
      <c r="B28" s="4" t="n">
        <v>0.1382</v>
      </c>
    </row>
    <row r="29">
      <c r="A29" s="3" t="inlineStr">
        <is>
          <t xml:space="preserve">  margin Yr4</t>
        </is>
      </c>
      <c r="B29" s="4" t="n">
        <v>0.1382</v>
      </c>
    </row>
    <row r="30">
      <c r="A30" s="3" t="inlineStr">
        <is>
          <t xml:space="preserve">  margin Yr5</t>
        </is>
      </c>
      <c r="B30" s="4" t="n">
        <v>0.1382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MU — Income statement &amp; FCFF ($m)</t>
        </is>
      </c>
    </row>
    <row r="3">
      <c r="B3" s="9" t="inlineStr">
        <is>
          <t>FY2022</t>
        </is>
      </c>
      <c r="C3" s="9" t="inlineStr">
        <is>
          <t>FY2023</t>
        </is>
      </c>
      <c r="D3" s="9" t="inlineStr">
        <is>
          <t>FY2024</t>
        </is>
      </c>
      <c r="E3" s="9" t="inlineStr">
        <is>
          <t>FY2025</t>
        </is>
      </c>
      <c r="F3" s="9" t="inlineStr">
        <is>
          <t>Yr1</t>
        </is>
      </c>
      <c r="G3" s="9" t="inlineStr">
        <is>
          <t>Yr2</t>
        </is>
      </c>
      <c r="H3" s="9" t="inlineStr">
        <is>
          <t>Yr3</t>
        </is>
      </c>
      <c r="I3" s="9" t="inlineStr">
        <is>
          <t>Yr4</t>
        </is>
      </c>
      <c r="J3" s="9" t="inlineStr">
        <is>
          <t>Yr5</t>
        </is>
      </c>
    </row>
    <row r="4">
      <c r="A4" s="8" t="inlineStr">
        <is>
          <t>Revenue ($m)</t>
        </is>
      </c>
      <c r="B4" s="7" t="n">
        <v>30758</v>
      </c>
      <c r="C4" s="7" t="n">
        <v>15540</v>
      </c>
      <c r="D4" s="7" t="n">
        <v>25111</v>
      </c>
      <c r="E4" s="7" t="n">
        <v>37378</v>
      </c>
      <c r="F4" s="7">
        <f>E4*(1+Assumptions!B19)</f>
        <v/>
      </c>
      <c r="G4" s="7">
        <f>F4*(1+Assumptions!B20)</f>
        <v/>
      </c>
      <c r="H4" s="7">
        <f>G4*(1+Assumptions!B21)</f>
        <v/>
      </c>
      <c r="I4" s="7">
        <f>H4*(1+Assumptions!B22)</f>
        <v/>
      </c>
      <c r="J4" s="7">
        <f>I4*(1+Assumptions!B23)</f>
        <v/>
      </c>
    </row>
    <row r="5">
      <c r="A5" s="8" t="inlineStr">
        <is>
          <t>Operating income / EBIT ($m)</t>
        </is>
      </c>
      <c r="B5" s="7" t="n">
        <v>9702</v>
      </c>
      <c r="C5" s="7" t="n">
        <v>-5745</v>
      </c>
      <c r="D5" s="7" t="n">
        <v>1304</v>
      </c>
      <c r="E5" s="7" t="n">
        <v>9770</v>
      </c>
      <c r="F5" s="7">
        <f>F4*Assumptions!B26</f>
        <v/>
      </c>
      <c r="G5" s="7">
        <f>G4*Assumptions!B27</f>
        <v/>
      </c>
      <c r="H5" s="7">
        <f>H4*Assumptions!B28</f>
        <v/>
      </c>
      <c r="I5" s="7">
        <f>I4*Assumptions!B29</f>
        <v/>
      </c>
      <c r="J5" s="7">
        <f>J4*Assumptions!B30</f>
        <v/>
      </c>
    </row>
    <row r="6">
      <c r="A6" s="3" t="inlineStr">
        <is>
          <t>EBIT margin (%)</t>
        </is>
      </c>
      <c r="B6" s="4">
        <f>B5/B4</f>
        <v/>
      </c>
      <c r="C6" s="4">
        <f>C5/C4</f>
        <v/>
      </c>
      <c r="D6" s="4">
        <f>D5/D4</f>
        <v/>
      </c>
      <c r="E6" s="4">
        <f>E5/E4</f>
        <v/>
      </c>
      <c r="F6" s="4">
        <f>F5/F4</f>
        <v/>
      </c>
      <c r="G6" s="4">
        <f>G5/G4</f>
        <v/>
      </c>
      <c r="H6" s="4">
        <f>H5/H4</f>
        <v/>
      </c>
      <c r="I6" s="4">
        <f>I5/I4</f>
        <v/>
      </c>
      <c r="J6" s="4">
        <f>J5/J4</f>
        <v/>
      </c>
    </row>
    <row r="7">
      <c r="A7" s="3" t="inlineStr">
        <is>
          <t>Net income ($m)</t>
        </is>
      </c>
      <c r="B7" s="7" t="n">
        <v>8687</v>
      </c>
      <c r="C7" s="7" t="n">
        <v>-5833</v>
      </c>
      <c r="D7" s="7" t="n">
        <v>778</v>
      </c>
      <c r="E7" s="7" t="n">
        <v>8539</v>
      </c>
    </row>
    <row r="8">
      <c r="A8" s="3" t="inlineStr">
        <is>
          <t>EPS diluted ($)</t>
        </is>
      </c>
      <c r="B8" s="5" t="n">
        <v>7.75</v>
      </c>
      <c r="C8" s="5" t="n">
        <v>-5.34</v>
      </c>
      <c r="D8" s="5" t="n">
        <v>0.7</v>
      </c>
      <c r="E8" s="5" t="n">
        <v>7.59</v>
      </c>
    </row>
    <row r="10">
      <c r="A10" s="8" t="inlineStr">
        <is>
          <t>Free cash flow to firm (projection)</t>
        </is>
      </c>
    </row>
    <row r="11">
      <c r="A11" s="3" t="inlineStr">
        <is>
          <t>NOPAT ($m)</t>
        </is>
      </c>
      <c r="F11" s="7">
        <f>F5*(1-Assumptions!B4)</f>
        <v/>
      </c>
      <c r="G11" s="7">
        <f>G5*(1-Assumptions!B4)</f>
        <v/>
      </c>
      <c r="H11" s="7">
        <f>H5*(1-Assumptions!B4)</f>
        <v/>
      </c>
      <c r="I11" s="7">
        <f>I5*(1-Assumptions!B4)</f>
        <v/>
      </c>
      <c r="J11" s="7">
        <f>J5*(1-Assumptions!B4)</f>
        <v/>
      </c>
    </row>
    <row r="12">
      <c r="A12" s="3" t="inlineStr">
        <is>
          <t>D&amp;A ($m)</t>
        </is>
      </c>
      <c r="F12" s="7">
        <f>F4*Assumptions!B12</f>
        <v/>
      </c>
      <c r="G12" s="7">
        <f>G4*Assumptions!B12</f>
        <v/>
      </c>
      <c r="H12" s="7">
        <f>H4*Assumptions!B12</f>
        <v/>
      </c>
      <c r="I12" s="7">
        <f>I4*Assumptions!B12</f>
        <v/>
      </c>
      <c r="J12" s="7">
        <f>J4*Assumptions!B12</f>
        <v/>
      </c>
    </row>
    <row r="13">
      <c r="A13" s="3" t="inlineStr">
        <is>
          <t>Capex ($m)</t>
        </is>
      </c>
      <c r="F13" s="7">
        <f>F4*Assumptions!B13</f>
        <v/>
      </c>
      <c r="G13" s="7">
        <f>G4*Assumptions!B13</f>
        <v/>
      </c>
      <c r="H13" s="7">
        <f>H4*Assumptions!B13</f>
        <v/>
      </c>
      <c r="I13" s="7">
        <f>I4*Assumptions!B13</f>
        <v/>
      </c>
      <c r="J13" s="7">
        <f>J4*Assumptions!B13</f>
        <v/>
      </c>
    </row>
    <row r="14">
      <c r="A14" s="3" t="inlineStr">
        <is>
          <t>Incr. NWC ($m)</t>
        </is>
      </c>
      <c r="F14" s="7">
        <f>(F4-E4)*Assumptions!B14</f>
        <v/>
      </c>
      <c r="G14" s="7">
        <f>(G4-F4)*Assumptions!B14</f>
        <v/>
      </c>
      <c r="H14" s="7">
        <f>(H4-G4)*Assumptions!B14</f>
        <v/>
      </c>
      <c r="I14" s="7">
        <f>(I4-H4)*Assumptions!B14</f>
        <v/>
      </c>
      <c r="J14" s="7">
        <f>(J4-I4)*Assumptions!B14</f>
        <v/>
      </c>
    </row>
    <row r="15">
      <c r="A15" s="8" t="inlineStr">
        <is>
          <t>FCFF ($m)</t>
        </is>
      </c>
      <c r="F15" s="7">
        <f>F11+F12-F13-F14</f>
        <v/>
      </c>
      <c r="G15" s="7">
        <f>G11+G12-G13-G14</f>
        <v/>
      </c>
      <c r="H15" s="7">
        <f>H11+H12-H13-H14</f>
        <v/>
      </c>
      <c r="I15" s="7">
        <f>I11+I12-I13-I14</f>
        <v/>
      </c>
      <c r="J15" s="7">
        <f>J11+J12-J13-J14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WACC build</t>
        </is>
      </c>
    </row>
    <row r="4">
      <c r="A4" s="3" t="inlineStr">
        <is>
          <t>Cost of equity (CAPM)</t>
        </is>
      </c>
      <c r="B4" s="4">
        <f>Assumptions!B5+Assumptions!B7*Assumptions!B6</f>
        <v/>
      </c>
    </row>
    <row r="5">
      <c r="A5" s="3" t="inlineStr">
        <is>
          <t>After-tax cost of debt</t>
        </is>
      </c>
      <c r="B5" s="4">
        <f>Assumptions!B8*(1-Assumptions!B4)</f>
        <v/>
      </c>
    </row>
    <row r="6">
      <c r="A6" s="3" t="inlineStr">
        <is>
          <t>Equity value ($m)</t>
        </is>
      </c>
      <c r="B6" s="7">
        <f>Assumptions!B9*Assumptions!B10</f>
        <v/>
      </c>
    </row>
    <row r="7">
      <c r="A7" s="3" t="inlineStr">
        <is>
          <t>Debt value ($m)</t>
        </is>
      </c>
      <c r="B7" s="7">
        <f>Assumptions!B15</f>
        <v/>
      </c>
    </row>
    <row r="8">
      <c r="A8" s="3" t="inlineStr">
        <is>
          <t>Equity weight</t>
        </is>
      </c>
      <c r="B8" s="4">
        <f>B6/(B6+B7)</f>
        <v/>
      </c>
    </row>
    <row r="9">
      <c r="A9" s="3" t="inlineStr">
        <is>
          <t>Debt weight</t>
        </is>
      </c>
      <c r="B9" s="4">
        <f>B7/(B6+B7)</f>
        <v/>
      </c>
    </row>
    <row r="10">
      <c r="A10" s="8" t="inlineStr">
        <is>
          <t>WACC</t>
        </is>
      </c>
      <c r="B10" s="10">
        <f>B8*B4+B9*B5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Discounted cash flow (FCFF)</t>
        </is>
      </c>
    </row>
    <row r="3">
      <c r="A3" s="3" t="inlineStr">
        <is>
          <t>Year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</row>
    <row r="4">
      <c r="A4" s="3" t="inlineStr">
        <is>
          <t>FCFF ($m)</t>
        </is>
      </c>
      <c r="B4" s="7">
        <f>Model!F15</f>
        <v/>
      </c>
      <c r="C4" s="7">
        <f>Model!G15</f>
        <v/>
      </c>
      <c r="D4" s="7">
        <f>Model!H15</f>
        <v/>
      </c>
      <c r="E4" s="7">
        <f>Model!I15</f>
        <v/>
      </c>
      <c r="F4" s="7">
        <f>Model!J15</f>
        <v/>
      </c>
    </row>
    <row r="5">
      <c r="A5" s="3" t="inlineStr">
        <is>
          <t>Discount factor</t>
        </is>
      </c>
      <c r="B5" s="5">
        <f>1/(1+WACC!$B$10)^B3</f>
        <v/>
      </c>
      <c r="C5" s="5">
        <f>1/(1+WACC!$B$10)^C3</f>
        <v/>
      </c>
      <c r="D5" s="5">
        <f>1/(1+WACC!$B$10)^D3</f>
        <v/>
      </c>
      <c r="E5" s="5">
        <f>1/(1+WACC!$B$10)^E3</f>
        <v/>
      </c>
      <c r="F5" s="5">
        <f>1/(1+WACC!$B$10)^F3</f>
        <v/>
      </c>
    </row>
    <row r="6">
      <c r="A6" s="3" t="inlineStr">
        <is>
          <t>PV of FCFF ($m)</t>
        </is>
      </c>
      <c r="B6" s="7">
        <f>B4*B5</f>
        <v/>
      </c>
      <c r="C6" s="7">
        <f>C4*C5</f>
        <v/>
      </c>
      <c r="D6" s="7">
        <f>D4*D5</f>
        <v/>
      </c>
      <c r="E6" s="7">
        <f>E4*E5</f>
        <v/>
      </c>
      <c r="F6" s="7">
        <f>F4*F5</f>
        <v/>
      </c>
    </row>
    <row r="8">
      <c r="A8" s="3" t="inlineStr">
        <is>
          <t>Sum PV of FCFF ($m)</t>
        </is>
      </c>
      <c r="B8" s="7">
        <f>SUM(B6:F6)</f>
        <v/>
      </c>
    </row>
    <row r="9">
      <c r="A9" s="3" t="inlineStr">
        <is>
          <t>Terminal value ($m)</t>
        </is>
      </c>
      <c r="B9" s="7">
        <f>F4*(1+Assumptions!B11)/(WACC!B10-Assumptions!B11)</f>
        <v/>
      </c>
    </row>
    <row r="10">
      <c r="A10" s="3" t="inlineStr">
        <is>
          <t>PV of terminal value ($m)</t>
        </is>
      </c>
      <c r="B10" s="7">
        <f>B9*F5</f>
        <v/>
      </c>
    </row>
    <row r="11">
      <c r="A11" s="8" t="inlineStr">
        <is>
          <t>Enterprise value ($m)</t>
        </is>
      </c>
      <c r="B11" s="7">
        <f>B8+B10</f>
        <v/>
      </c>
    </row>
    <row r="12">
      <c r="A12" s="3" t="inlineStr">
        <is>
          <t>Less: net debt ($m)</t>
        </is>
      </c>
      <c r="B12" s="7">
        <f>Assumptions!B15-Assumptions!B16</f>
        <v/>
      </c>
    </row>
    <row r="13">
      <c r="A13" s="8" t="inlineStr">
        <is>
          <t>Equity value ($m)</t>
        </is>
      </c>
      <c r="B13" s="7">
        <f>B11-B12</f>
        <v/>
      </c>
    </row>
    <row r="14">
      <c r="A14" s="3" t="inlineStr">
        <is>
          <t>Shares (m)</t>
        </is>
      </c>
      <c r="B14" s="7">
        <f>Assumptions!B10</f>
        <v/>
      </c>
    </row>
    <row r="15">
      <c r="A15" s="8" t="inlineStr">
        <is>
          <t>Value per share ($)</t>
        </is>
      </c>
      <c r="B15" s="11">
        <f>B13/B14</f>
        <v/>
      </c>
    </row>
    <row r="16">
      <c r="A16" s="3" t="inlineStr">
        <is>
          <t>TV as % of EV</t>
        </is>
      </c>
      <c r="B16" s="4">
        <f>B10/B11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Value per share — WACC (rows) × terminal growth (cols)</t>
        </is>
      </c>
    </row>
    <row r="3">
      <c r="B3" s="8" t="inlineStr">
        <is>
          <t>WACC\g</t>
        </is>
      </c>
      <c r="C3" s="4" t="n">
        <v>0.015</v>
      </c>
      <c r="D3" s="4" t="n">
        <v>0.02</v>
      </c>
      <c r="E3" s="4" t="n">
        <v>0.025</v>
      </c>
      <c r="F3" s="4" t="n">
        <v>0.03</v>
      </c>
      <c r="G3" s="4" t="n">
        <v>0.035</v>
      </c>
    </row>
    <row r="4">
      <c r="B4" s="4">
        <f>WACC!$B$10-0.015</f>
        <v/>
      </c>
      <c r="C4" s="6">
        <f>(SUMPRODUCT(DCF!$B$4:$F$4,1/(1+$B4)^DCF!$B$3:$F$3)+(DCF!$F$4*(1+C$3)/($B4-C$3))/(1+$B4)^5-(Assumptions!B15-Assumptions!B16))/Assumptions!B10</f>
        <v/>
      </c>
      <c r="D4" s="6">
        <f>(SUMPRODUCT(DCF!$B$4:$F$4,1/(1+$B4)^DCF!$B$3:$F$3)+(DCF!$F$4*(1+D$3)/($B4-D$3))/(1+$B4)^5-(Assumptions!B15-Assumptions!B16))/Assumptions!B10</f>
        <v/>
      </c>
      <c r="E4" s="6">
        <f>(SUMPRODUCT(DCF!$B$4:$F$4,1/(1+$B4)^DCF!$B$3:$F$3)+(DCF!$F$4*(1+E$3)/($B4-E$3))/(1+$B4)^5-(Assumptions!B15-Assumptions!B16))/Assumptions!B10</f>
        <v/>
      </c>
      <c r="F4" s="6">
        <f>(SUMPRODUCT(DCF!$B$4:$F$4,1/(1+$B4)^DCF!$B$3:$F$3)+(DCF!$F$4*(1+F$3)/($B4-F$3))/(1+$B4)^5-(Assumptions!B15-Assumptions!B16))/Assumptions!B10</f>
        <v/>
      </c>
      <c r="G4" s="6">
        <f>(SUMPRODUCT(DCF!$B$4:$F$4,1/(1+$B4)^DCF!$B$3:$F$3)+(DCF!$F$4*(1+G$3)/($B4-G$3))/(1+$B4)^5-(Assumptions!B15-Assumptions!B16))/Assumptions!B10</f>
        <v/>
      </c>
    </row>
    <row r="5">
      <c r="B5" s="4">
        <f>WACC!$B$10-0.0075</f>
        <v/>
      </c>
      <c r="C5" s="6">
        <f>(SUMPRODUCT(DCF!$B$4:$F$4,1/(1+$B5)^DCF!$B$3:$F$3)+(DCF!$F$4*(1+C$3)/($B5-C$3))/(1+$B5)^5-(Assumptions!B15-Assumptions!B16))/Assumptions!B10</f>
        <v/>
      </c>
      <c r="D5" s="6">
        <f>(SUMPRODUCT(DCF!$B$4:$F$4,1/(1+$B5)^DCF!$B$3:$F$3)+(DCF!$F$4*(1+D$3)/($B5-D$3))/(1+$B5)^5-(Assumptions!B15-Assumptions!B16))/Assumptions!B10</f>
        <v/>
      </c>
      <c r="E5" s="6">
        <f>(SUMPRODUCT(DCF!$B$4:$F$4,1/(1+$B5)^DCF!$B$3:$F$3)+(DCF!$F$4*(1+E$3)/($B5-E$3))/(1+$B5)^5-(Assumptions!B15-Assumptions!B16))/Assumptions!B10</f>
        <v/>
      </c>
      <c r="F5" s="6">
        <f>(SUMPRODUCT(DCF!$B$4:$F$4,1/(1+$B5)^DCF!$B$3:$F$3)+(DCF!$F$4*(1+F$3)/($B5-F$3))/(1+$B5)^5-(Assumptions!B15-Assumptions!B16))/Assumptions!B10</f>
        <v/>
      </c>
      <c r="G5" s="6">
        <f>(SUMPRODUCT(DCF!$B$4:$F$4,1/(1+$B5)^DCF!$B$3:$F$3)+(DCF!$F$4*(1+G$3)/($B5-G$3))/(1+$B5)^5-(Assumptions!B15-Assumptions!B16))/Assumptions!B10</f>
        <v/>
      </c>
    </row>
    <row r="6">
      <c r="B6" s="4">
        <f>WACC!$B$10</f>
        <v/>
      </c>
      <c r="C6" s="6">
        <f>(SUMPRODUCT(DCF!$B$4:$F$4,1/(1+$B6)^DCF!$B$3:$F$3)+(DCF!$F$4*(1+C$3)/($B6-C$3))/(1+$B6)^5-(Assumptions!B15-Assumptions!B16))/Assumptions!B10</f>
        <v/>
      </c>
      <c r="D6" s="6">
        <f>(SUMPRODUCT(DCF!$B$4:$F$4,1/(1+$B6)^DCF!$B$3:$F$3)+(DCF!$F$4*(1+D$3)/($B6-D$3))/(1+$B6)^5-(Assumptions!B15-Assumptions!B16))/Assumptions!B10</f>
        <v/>
      </c>
      <c r="E6" s="11">
        <f>(SUMPRODUCT(DCF!$B$4:$F$4,1/(1+$B6)^DCF!$B$3:$F$3)+(DCF!$F$4*(1+E$3)/($B6-E$3))/(1+$B6)^5-(Assumptions!B15-Assumptions!B16))/Assumptions!B10</f>
        <v/>
      </c>
      <c r="F6" s="6">
        <f>(SUMPRODUCT(DCF!$B$4:$F$4,1/(1+$B6)^DCF!$B$3:$F$3)+(DCF!$F$4*(1+F$3)/($B6-F$3))/(1+$B6)^5-(Assumptions!B15-Assumptions!B16))/Assumptions!B10</f>
        <v/>
      </c>
      <c r="G6" s="6">
        <f>(SUMPRODUCT(DCF!$B$4:$F$4,1/(1+$B6)^DCF!$B$3:$F$3)+(DCF!$F$4*(1+G$3)/($B6-G$3))/(1+$B6)^5-(Assumptions!B15-Assumptions!B16))/Assumptions!B10</f>
        <v/>
      </c>
    </row>
    <row r="7">
      <c r="B7" s="4">
        <f>WACC!$B$10+0.0075</f>
        <v/>
      </c>
      <c r="C7" s="6">
        <f>(SUMPRODUCT(DCF!$B$4:$F$4,1/(1+$B7)^DCF!$B$3:$F$3)+(DCF!$F$4*(1+C$3)/($B7-C$3))/(1+$B7)^5-(Assumptions!B15-Assumptions!B16))/Assumptions!B10</f>
        <v/>
      </c>
      <c r="D7" s="6">
        <f>(SUMPRODUCT(DCF!$B$4:$F$4,1/(1+$B7)^DCF!$B$3:$F$3)+(DCF!$F$4*(1+D$3)/($B7-D$3))/(1+$B7)^5-(Assumptions!B15-Assumptions!B16))/Assumptions!B10</f>
        <v/>
      </c>
      <c r="E7" s="6">
        <f>(SUMPRODUCT(DCF!$B$4:$F$4,1/(1+$B7)^DCF!$B$3:$F$3)+(DCF!$F$4*(1+E$3)/($B7-E$3))/(1+$B7)^5-(Assumptions!B15-Assumptions!B16))/Assumptions!B10</f>
        <v/>
      </c>
      <c r="F7" s="6">
        <f>(SUMPRODUCT(DCF!$B$4:$F$4,1/(1+$B7)^DCF!$B$3:$F$3)+(DCF!$F$4*(1+F$3)/($B7-F$3))/(1+$B7)^5-(Assumptions!B15-Assumptions!B16))/Assumptions!B10</f>
        <v/>
      </c>
      <c r="G7" s="6">
        <f>(SUMPRODUCT(DCF!$B$4:$F$4,1/(1+$B7)^DCF!$B$3:$F$3)+(DCF!$F$4*(1+G$3)/($B7-G$3))/(1+$B7)^5-(Assumptions!B15-Assumptions!B16))/Assumptions!B10</f>
        <v/>
      </c>
    </row>
    <row r="8">
      <c r="B8" s="4">
        <f>WACC!$B$10+0.015</f>
        <v/>
      </c>
      <c r="C8" s="6">
        <f>(SUMPRODUCT(DCF!$B$4:$F$4,1/(1+$B8)^DCF!$B$3:$F$3)+(DCF!$F$4*(1+C$3)/($B8-C$3))/(1+$B8)^5-(Assumptions!B15-Assumptions!B16))/Assumptions!B10</f>
        <v/>
      </c>
      <c r="D8" s="6">
        <f>(SUMPRODUCT(DCF!$B$4:$F$4,1/(1+$B8)^DCF!$B$3:$F$3)+(DCF!$F$4*(1+D$3)/($B8-D$3))/(1+$B8)^5-(Assumptions!B15-Assumptions!B16))/Assumptions!B10</f>
        <v/>
      </c>
      <c r="E8" s="6">
        <f>(SUMPRODUCT(DCF!$B$4:$F$4,1/(1+$B8)^DCF!$B$3:$F$3)+(DCF!$F$4*(1+E$3)/($B8-E$3))/(1+$B8)^5-(Assumptions!B15-Assumptions!B16))/Assumptions!B10</f>
        <v/>
      </c>
      <c r="F8" s="6">
        <f>(SUMPRODUCT(DCF!$B$4:$F$4,1/(1+$B8)^DCF!$B$3:$F$3)+(DCF!$F$4*(1+F$3)/($B8-F$3))/(1+$B8)^5-(Assumptions!B15-Assumptions!B16))/Assumptions!B10</f>
        <v/>
      </c>
      <c r="G8" s="6">
        <f>(SUMPRODUCT(DCF!$B$4:$F$4,1/(1+$B8)^DCF!$B$3:$F$3)+(DCF!$F$4*(1+G$3)/($B8-G$3))/(1+$B8)^5-(Assumptions!B15-Assumptions!B16))/Assumptions!B10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Comparable-company valuation</t>
        </is>
      </c>
    </row>
    <row r="2">
      <c r="A2" s="2" t="inlineStr">
        <is>
          <t>Peer multiples are ASSUMPTION inputs — replace with live peers.</t>
        </is>
      </c>
    </row>
    <row r="4">
      <c r="A4" s="3" t="inlineStr">
        <is>
          <t>EBITDA ($m)</t>
        </is>
      </c>
      <c r="B4" s="7" t="n">
        <v>18122</v>
      </c>
    </row>
    <row r="5">
      <c r="A5" s="3" t="inlineStr">
        <is>
          <t>EV/EBITDA multiple (x) [ASSUMPTION]</t>
        </is>
      </c>
      <c r="B5" s="5" t="n">
        <v>12</v>
      </c>
    </row>
    <row r="6">
      <c r="A6" s="3" t="inlineStr">
        <is>
          <t>Implied EV ($m)</t>
        </is>
      </c>
      <c r="B6" s="7">
        <f>B4*B5</f>
        <v/>
      </c>
    </row>
    <row r="7">
      <c r="A7" s="3" t="inlineStr">
        <is>
          <t>Less: net debt ($m)</t>
        </is>
      </c>
      <c r="B7" s="7">
        <f>Assumptions!B15-Assumptions!B16</f>
        <v/>
      </c>
    </row>
    <row r="8">
      <c r="A8" s="3" t="inlineStr">
        <is>
          <t>Equity value ($m)</t>
        </is>
      </c>
      <c r="B8" s="7">
        <f>B6-B7</f>
        <v/>
      </c>
    </row>
    <row r="9">
      <c r="A9" s="3" t="inlineStr">
        <is>
          <t>Value/share — EV/EBITDA ($)</t>
        </is>
      </c>
      <c r="B9" s="6">
        <f>B8/Assumptions!B10</f>
        <v/>
      </c>
    </row>
    <row r="11">
      <c r="A11" s="3" t="inlineStr">
        <is>
          <t>EPS ($)</t>
        </is>
      </c>
      <c r="B11" s="5" t="n">
        <v>7.59</v>
      </c>
    </row>
    <row r="12">
      <c r="A12" s="3" t="inlineStr">
        <is>
          <t>P/E multiple (x) [ASSUMPTION]</t>
        </is>
      </c>
      <c r="B12" s="5" t="n">
        <v>18</v>
      </c>
    </row>
    <row r="13">
      <c r="A13" s="3" t="inlineStr">
        <is>
          <t>Value/share — P/E ($)</t>
        </is>
      </c>
      <c r="B13" s="6">
        <f>B11*B12</f>
        <v/>
      </c>
    </row>
    <row r="14">
      <c r="A14" s="8" t="inlineStr">
        <is>
          <t>Comps midpoint ($)</t>
        </is>
      </c>
      <c r="B14" s="11">
        <f>AVERAGE(B9,B13)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2026-06-19T17:38:59Z</dcterms:created>
  <dcterms:modified xmlns:dcterms="http://purl.org/dc/terms/" xmlns:xsi="http://www.w3.org/2001/XMLSchema-instance" xsi:type="dcterms:W3CDTF">2026-06-19T17:38:59Z</dcterms:modified>
</cp:coreProperties>
</file>