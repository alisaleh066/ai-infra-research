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nderwrit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£&quot;#,##0;(&quot;£&quot;#,##0)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</font>
    <font>
      <b val="1"/>
      <color rgb="000F172A"/>
    </font>
    <font>
      <color rgb="000F172A"/>
    </font>
    <font>
      <color rgb="001D4ED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" fontId="5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0" fontId="6" fillId="2" borderId="0" applyAlignment="1" pivotButton="0" quotePrefix="0" xfId="0">
      <alignment horizontal="center"/>
    </xf>
    <xf numFmtId="10" fontId="4" fillId="3" borderId="0" pivotButton="0" quotePrefix="0" xfId="0"/>
    <xf numFmtId="166" fontId="4" fillId="3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UK Real-Estate Acquisition — Assumptions</t>
        </is>
      </c>
    </row>
    <row r="2">
      <c r="A2" s="2" t="inlineStr">
        <is>
          <t>Blue = input. North West 6-unit block (illustrative).</t>
        </is>
      </c>
    </row>
    <row r="3">
      <c r="A3" s="3" t="inlineStr">
        <is>
          <t>Rent roll — monthly rent per unit (GBP)</t>
        </is>
      </c>
    </row>
    <row r="4">
      <c r="A4" s="4" t="inlineStr">
        <is>
          <t xml:space="preserve">  Unit 1</t>
        </is>
      </c>
      <c r="B4" s="5" t="n">
        <v>950</v>
      </c>
    </row>
    <row r="5">
      <c r="A5" s="4" t="inlineStr">
        <is>
          <t xml:space="preserve">  Unit 2</t>
        </is>
      </c>
      <c r="B5" s="5" t="n">
        <v>950</v>
      </c>
    </row>
    <row r="6">
      <c r="A6" s="4" t="inlineStr">
        <is>
          <t xml:space="preserve">  Unit 3</t>
        </is>
      </c>
      <c r="B6" s="5" t="n">
        <v>950</v>
      </c>
    </row>
    <row r="7">
      <c r="A7" s="4" t="inlineStr">
        <is>
          <t xml:space="preserve">  Unit 4</t>
        </is>
      </c>
      <c r="B7" s="5" t="n">
        <v>950</v>
      </c>
    </row>
    <row r="8">
      <c r="A8" s="4" t="inlineStr">
        <is>
          <t xml:space="preserve">  Unit 5</t>
        </is>
      </c>
      <c r="B8" s="5" t="n">
        <v>900</v>
      </c>
    </row>
    <row r="9">
      <c r="A9" s="4" t="inlineStr">
        <is>
          <t xml:space="preserve">  Unit 6</t>
        </is>
      </c>
      <c r="B9" s="5" t="n">
        <v>900</v>
      </c>
    </row>
    <row r="11">
      <c r="A11" s="4" t="inlineStr">
        <is>
          <t>Vacancy rate</t>
        </is>
      </c>
      <c r="B11" s="6" t="n">
        <v>0.05</v>
      </c>
    </row>
    <row r="12">
      <c r="A12" s="4" t="inlineStr">
        <is>
          <t>Opex ratio (% of EGI)</t>
        </is>
      </c>
      <c r="B12" s="6" t="n">
        <v>0.25</v>
      </c>
    </row>
    <row r="13">
      <c r="A13" s="4" t="inlineStr">
        <is>
          <t>Entry cap rate</t>
        </is>
      </c>
      <c r="B13" s="7" t="n">
        <v>0.06</v>
      </c>
    </row>
    <row r="14">
      <c r="A14" s="4" t="inlineStr">
        <is>
          <t>Exit cap rate</t>
        </is>
      </c>
      <c r="B14" s="7" t="n">
        <v>0.06</v>
      </c>
    </row>
    <row r="15">
      <c r="A15" s="4" t="inlineStr">
        <is>
          <t>Rent growth (pa)</t>
        </is>
      </c>
      <c r="B15" s="7" t="n">
        <v>0.03</v>
      </c>
    </row>
    <row r="16">
      <c r="A16" s="4" t="inlineStr">
        <is>
          <t>LTV</t>
        </is>
      </c>
      <c r="B16" s="6" t="n">
        <v>0.65</v>
      </c>
    </row>
    <row r="17">
      <c r="A17" s="4" t="inlineStr">
        <is>
          <t>Interest rate (interest-only)</t>
        </is>
      </c>
      <c r="B17" s="7" t="n">
        <v>0.0575</v>
      </c>
    </row>
    <row r="18">
      <c r="A18" s="4" t="inlineStr">
        <is>
          <t>Purchase costs (% price)</t>
        </is>
      </c>
      <c r="B18" s="6" t="n">
        <v>0.05</v>
      </c>
    </row>
    <row r="19">
      <c r="A19" s="4" t="inlineStr">
        <is>
          <t>Selling costs (% sale)</t>
        </is>
      </c>
      <c r="B19" s="6" t="n">
        <v>0.015</v>
      </c>
    </row>
    <row r="20">
      <c r="A20" s="4" t="inlineStr">
        <is>
          <t>Hold (years)</t>
        </is>
      </c>
      <c r="B20" s="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Underwriting</t>
        </is>
      </c>
    </row>
    <row r="3">
      <c r="A3" s="4" t="inlineStr">
        <is>
          <t>Gross rent (pa) (£)</t>
        </is>
      </c>
      <c r="B3" s="9">
        <f>SUM(Assumptions!B4:B9)*12</f>
        <v/>
      </c>
    </row>
    <row r="4">
      <c r="A4" s="4" t="inlineStr">
        <is>
          <t>Effective gross income (£)</t>
        </is>
      </c>
      <c r="B4" s="9">
        <f>B3*(1-Assumptions!B11)</f>
        <v/>
      </c>
    </row>
    <row r="5">
      <c r="A5" s="3" t="inlineStr">
        <is>
          <t>NOI (£)</t>
        </is>
      </c>
      <c r="B5" s="9">
        <f>B4*(1-Assumptions!B12)</f>
        <v/>
      </c>
    </row>
    <row r="6">
      <c r="A6" s="3" t="inlineStr">
        <is>
          <t>Valuation = NOI / entry cap (£)</t>
        </is>
      </c>
      <c r="B6" s="9">
        <f>B5/Assumptions!B13</f>
        <v/>
      </c>
    </row>
    <row r="7">
      <c r="A7" s="4" t="inlineStr">
        <is>
          <t>Loan (£)</t>
        </is>
      </c>
      <c r="B7" s="9">
        <f>B6*Assumptions!B16</f>
        <v/>
      </c>
    </row>
    <row r="8">
      <c r="A8" s="4" t="inlineStr">
        <is>
          <t>Equity invested (£)</t>
        </is>
      </c>
      <c r="B8" s="9">
        <f>B6*(1+Assumptions!B18)-B7</f>
        <v/>
      </c>
    </row>
    <row r="9">
      <c r="A9" s="4" t="inlineStr">
        <is>
          <t>Debt service (pa) (£)</t>
        </is>
      </c>
      <c r="B9" s="9">
        <f>B7*Assumptions!B17</f>
        <v/>
      </c>
    </row>
    <row r="10">
      <c r="A10" s="4" t="inlineStr">
        <is>
          <t>DSCR</t>
        </is>
      </c>
      <c r="B10" s="10">
        <f>B5/B9</f>
        <v/>
      </c>
    </row>
    <row r="12">
      <c r="A12" s="3" t="inlineStr">
        <is>
          <t>Levered equity cash flows (£)</t>
        </is>
      </c>
    </row>
    <row r="13">
      <c r="B13" s="11" t="inlineStr">
        <is>
          <t>Yr0</t>
        </is>
      </c>
      <c r="C13" s="11" t="inlineStr">
        <is>
          <t>Yr1</t>
        </is>
      </c>
      <c r="D13" s="11" t="inlineStr">
        <is>
          <t>Yr2</t>
        </is>
      </c>
      <c r="E13" s="11" t="inlineStr">
        <is>
          <t>Yr3</t>
        </is>
      </c>
      <c r="F13" s="11" t="inlineStr">
        <is>
          <t>Yr4</t>
        </is>
      </c>
      <c r="G13" s="11" t="inlineStr">
        <is>
          <t>Yr5</t>
        </is>
      </c>
    </row>
    <row r="14">
      <c r="B14" s="9">
        <f>-B8</f>
        <v/>
      </c>
      <c r="C14" s="9">
        <f>B5*(1+Assumptions!B15)^1-B9</f>
        <v/>
      </c>
      <c r="D14" s="9">
        <f>B5*(1+Assumptions!B15)^2-B9</f>
        <v/>
      </c>
      <c r="E14" s="9">
        <f>B5*(1+Assumptions!B15)^3-B9</f>
        <v/>
      </c>
      <c r="F14" s="9">
        <f>B5*(1+Assumptions!B15)^4-B9</f>
        <v/>
      </c>
      <c r="G14" s="9">
        <f>B5*(1+Assumptions!B15)^5-B9+(B5*(1+Assumptions!B15)^6/Assumptions!B14*(1-Assumptions!B19)-B7)</f>
        <v/>
      </c>
    </row>
    <row r="16">
      <c r="A16" s="3" t="inlineStr">
        <is>
          <t>IRR (levered, 5-yr)</t>
        </is>
      </c>
      <c r="B16" s="12">
        <f>IRR(B14:G14)</f>
        <v/>
      </c>
    </row>
    <row r="17">
      <c r="A17" s="3" t="inlineStr">
        <is>
          <t>Equity multiple</t>
        </is>
      </c>
      <c r="B17" s="13">
        <f>SUM(C14:G14)/-B14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IRR sensitivity — exit cap (rows) x rent growth (cols)</t>
        </is>
      </c>
    </row>
    <row r="2">
      <c r="A2" s="2" t="inlineStr">
        <is>
          <t>Values computed by re_engine.py (IRR is iterative). Interactive grid in dashboard.</t>
        </is>
      </c>
    </row>
    <row r="3">
      <c r="B3" s="3" t="inlineStr">
        <is>
          <t>exit\g</t>
        </is>
      </c>
      <c r="C3" s="6" t="n">
        <v>0.01</v>
      </c>
      <c r="D3" s="6" t="n">
        <v>0.02</v>
      </c>
      <c r="E3" s="6" t="n">
        <v>0.03</v>
      </c>
      <c r="F3" s="6" t="n">
        <v>0.04</v>
      </c>
      <c r="G3" s="6" t="n">
        <v>0.05</v>
      </c>
    </row>
    <row r="4">
      <c r="B4" s="7" t="n">
        <v>0.05</v>
      </c>
      <c r="C4" s="14" t="n">
        <v>0.1383991774259751</v>
      </c>
      <c r="D4" s="14" t="n">
        <v>0.1658660772282079</v>
      </c>
      <c r="E4" s="14" t="n">
        <v>0.1922121831227454</v>
      </c>
      <c r="F4" s="14" t="n">
        <v>0.2176076099358568</v>
      </c>
      <c r="G4" s="14" t="n">
        <v>0.2421877782376295</v>
      </c>
    </row>
    <row r="5">
      <c r="B5" s="7" t="n">
        <v>0.055</v>
      </c>
      <c r="C5" s="14" t="n">
        <v>0.09809839485436919</v>
      </c>
      <c r="D5" s="14" t="n">
        <v>0.1271733853440207</v>
      </c>
      <c r="E5" s="14" t="n">
        <v>0.1548288642312895</v>
      </c>
      <c r="F5" s="14" t="n">
        <v>0.181301363623885</v>
      </c>
      <c r="G5" s="14" t="n">
        <v>0.2067741740496532</v>
      </c>
    </row>
    <row r="6">
      <c r="B6" s="7" t="n">
        <v>0.06</v>
      </c>
      <c r="C6" s="14" t="n">
        <v>0.05899047301828058</v>
      </c>
      <c r="D6" s="14" t="n">
        <v>0.0900224540877948</v>
      </c>
      <c r="E6" s="14" t="n">
        <v>0.119244231518127</v>
      </c>
      <c r="F6" s="14" t="n">
        <v>0.1469889421534418</v>
      </c>
      <c r="G6" s="14" t="n">
        <v>0.1735067246000735</v>
      </c>
    </row>
    <row r="7">
      <c r="B7" s="7" t="n">
        <v>0.065</v>
      </c>
      <c r="C7" s="14" t="n">
        <v>0.02033478629554364</v>
      </c>
      <c r="D7" s="14" t="n">
        <v>0.05377509512822425</v>
      </c>
      <c r="E7" s="14" t="n">
        <v>0.08488077123927436</v>
      </c>
      <c r="F7" s="14" t="n">
        <v>0.1141296272395618</v>
      </c>
      <c r="G7" s="14" t="n">
        <v>0.1418672102525505</v>
      </c>
    </row>
    <row r="8">
      <c r="B8" s="7" t="n">
        <v>0.07000000000000001</v>
      </c>
      <c r="C8" s="14" t="n">
        <v>-0.01862375650908606</v>
      </c>
      <c r="D8" s="14" t="n">
        <v>0.01783391941035103</v>
      </c>
      <c r="E8" s="14" t="n">
        <v>0.05123024134964109</v>
      </c>
      <c r="F8" s="14" t="n">
        <v>0.08226772474518906</v>
      </c>
      <c r="G8" s="14" t="n">
        <v>0.1114317439986189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2026-06-18T19:03:35Z</dcterms:created>
  <dcterms:modified xmlns:dcterms="http://purl.org/dc/terms/" xmlns:xsi="http://www.w3.org/2001/XMLSchema-instance" xsi:type="dcterms:W3CDTF">2026-06-18T19:03:35Z</dcterms:modified>
</cp:coreProperties>
</file>