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WACC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Com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"/>
    <numFmt numFmtId="166" formatCode="#,##0;(#,##0)"/>
  </numFmts>
  <fonts count="7">
    <font>
      <name val="Calibri"/>
      <family val="2"/>
      <color theme="1"/>
      <sz val="11"/>
      <scheme val="minor"/>
    </font>
    <font>
      <b val="1"/>
      <color rgb="000F172A"/>
      <sz val="14"/>
    </font>
    <font>
      <i val="1"/>
      <color rgb="0064748B"/>
    </font>
    <font>
      <color rgb="000F172A"/>
    </font>
    <font>
      <color rgb="001D4ED8"/>
    </font>
    <font>
      <b val="1"/>
      <color rgb="000F172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0" fontId="5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6" fontId="3" fillId="0" borderId="0" pivotButton="0" quotePrefix="0" xfId="0"/>
    <xf numFmtId="164" fontId="5" fillId="0" borderId="0" pivotButton="0" quotePrefix="0" xfId="0"/>
    <xf numFmtId="0" fontId="6" fillId="2" borderId="0" applyAlignment="1" pivotButton="0" quotePrefix="0" xfId="0">
      <alignment horizontal="center"/>
    </xf>
    <xf numFmtId="165" fontId="3" fillId="3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Micron (MU) — Valuation Assumptions</t>
        </is>
      </c>
    </row>
    <row r="2">
      <c r="A2" s="2" t="inlineStr">
        <is>
          <t>Blue = input (editable). Figures sourced from SEC EDGAR unless flagged ASSUMPTION.</t>
        </is>
      </c>
    </row>
    <row r="4">
      <c r="A4" s="3" t="inlineStr">
        <is>
          <t>Tax rate</t>
        </is>
      </c>
      <c r="B4" s="4" t="n">
        <v>0.13</v>
      </c>
    </row>
    <row r="5">
      <c r="A5" s="3" t="inlineStr">
        <is>
          <t>Risk-free rate</t>
        </is>
      </c>
      <c r="B5" s="4" t="n">
        <v>0.043</v>
      </c>
    </row>
    <row r="6">
      <c r="A6" s="3" t="inlineStr">
        <is>
          <t>Equity risk premium</t>
        </is>
      </c>
      <c r="B6" s="4" t="n">
        <v>0.05</v>
      </c>
    </row>
    <row r="7">
      <c r="A7" s="3" t="inlineStr">
        <is>
          <t>Beta [ASSUMPTION]</t>
        </is>
      </c>
      <c r="B7" s="5" t="n">
        <v>1.2</v>
      </c>
    </row>
    <row r="8">
      <c r="A8" s="3" t="inlineStr">
        <is>
          <t>Pre-tax cost of debt</t>
        </is>
      </c>
      <c r="B8" s="4" t="n">
        <v>0.05</v>
      </c>
    </row>
    <row r="9">
      <c r="A9" s="3" t="inlineStr">
        <is>
          <t>Share price (USD) [ASSUMPTION]</t>
        </is>
      </c>
      <c r="B9" s="6" t="n">
        <v>130</v>
      </c>
    </row>
    <row r="10">
      <c r="A10" s="3" t="inlineStr">
        <is>
          <t>Shares outstanding (m)</t>
        </is>
      </c>
      <c r="B10" s="7" t="n">
        <v>1125</v>
      </c>
    </row>
    <row r="11">
      <c r="A11" s="3" t="inlineStr">
        <is>
          <t>Terminal growth</t>
        </is>
      </c>
      <c r="B11" s="4" t="n">
        <v>0.025</v>
      </c>
    </row>
    <row r="12">
      <c r="A12" s="3" t="inlineStr">
        <is>
          <t>D&amp;A (% revenue)</t>
        </is>
      </c>
      <c r="B12" s="4" t="n">
        <v>0.2234</v>
      </c>
    </row>
    <row r="13">
      <c r="A13" s="3" t="inlineStr">
        <is>
          <t>Capex (% revenue) [ASSUMPTION]</t>
        </is>
      </c>
      <c r="B13" s="4" t="n">
        <v>0.3</v>
      </c>
    </row>
    <row r="14">
      <c r="A14" s="3" t="inlineStr">
        <is>
          <t>Incr. NWC (% of rev change) [ASSUMPTION]</t>
        </is>
      </c>
      <c r="B14" s="4" t="n">
        <v>0.1</v>
      </c>
    </row>
    <row r="15">
      <c r="A15" s="8" t="inlineStr">
        <is>
          <t>Revenue growth Yr1-Yr5 [ASSUMPTION]</t>
        </is>
      </c>
    </row>
    <row r="16">
      <c r="A16" s="3" t="inlineStr">
        <is>
          <t xml:space="preserve">  growth Yr1</t>
        </is>
      </c>
      <c r="B16" s="4" t="n">
        <v>0.22</v>
      </c>
    </row>
    <row r="17">
      <c r="A17" s="3" t="inlineStr">
        <is>
          <t xml:space="preserve">  growth Yr2</t>
        </is>
      </c>
      <c r="B17" s="4" t="n">
        <v>0.12</v>
      </c>
    </row>
    <row r="18">
      <c r="A18" s="3" t="inlineStr">
        <is>
          <t xml:space="preserve">  growth Yr3</t>
        </is>
      </c>
      <c r="B18" s="4" t="n">
        <v>0.08</v>
      </c>
    </row>
    <row r="19">
      <c r="A19" s="3" t="inlineStr">
        <is>
          <t xml:space="preserve">  growth Yr4</t>
        </is>
      </c>
      <c r="B19" s="4" t="n">
        <v>0.05</v>
      </c>
    </row>
    <row r="20">
      <c r="A20" s="3" t="inlineStr">
        <is>
          <t xml:space="preserve">  growth Yr5</t>
        </is>
      </c>
      <c r="B20" s="4" t="n">
        <v>0.04</v>
      </c>
    </row>
    <row r="21">
      <c r="A21" s="8" t="inlineStr">
        <is>
          <t>EBIT margin Yr1-Yr5 [ASSUMPTION]</t>
        </is>
      </c>
    </row>
    <row r="22">
      <c r="A22" s="3" t="inlineStr">
        <is>
          <t xml:space="preserve">  margin Yr1</t>
        </is>
      </c>
      <c r="B22" s="4" t="n">
        <v>0.27</v>
      </c>
    </row>
    <row r="23">
      <c r="A23" s="3" t="inlineStr">
        <is>
          <t xml:space="preserve">  margin Yr2</t>
        </is>
      </c>
      <c r="B23" s="4" t="n">
        <v>0.28</v>
      </c>
    </row>
    <row r="24">
      <c r="A24" s="3" t="inlineStr">
        <is>
          <t xml:space="preserve">  margin Yr3</t>
        </is>
      </c>
      <c r="B24" s="4" t="n">
        <v>0.27</v>
      </c>
    </row>
    <row r="25">
      <c r="A25" s="3" t="inlineStr">
        <is>
          <t xml:space="preserve">  margin Yr4</t>
        </is>
      </c>
      <c r="B25" s="4" t="n">
        <v>0.26</v>
      </c>
    </row>
    <row r="26">
      <c r="A26" s="3" t="inlineStr">
        <is>
          <t xml:space="preserve">  margin Yr5</t>
        </is>
      </c>
      <c r="B26" s="4" t="n">
        <v>0.25</v>
      </c>
    </row>
    <row r="28">
      <c r="A28" s="3" t="inlineStr">
        <is>
          <t>LT debt FY2025 ($m) — EDGAR</t>
        </is>
      </c>
      <c r="B28" s="7" t="n">
        <v>11533</v>
      </c>
    </row>
    <row r="29">
      <c r="A29" s="3" t="inlineStr">
        <is>
          <t>Cash FY2025 ($m) — EDGAR</t>
        </is>
      </c>
      <c r="B29" s="7" t="n">
        <v>9642</v>
      </c>
    </row>
    <row r="30">
      <c r="A30" s="3" t="inlineStr">
        <is>
          <t>Base revenue FY2025 ($m) — EDGAR</t>
        </is>
      </c>
      <c r="B30" s="7" t="n">
        <v>37378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WACC build</t>
        </is>
      </c>
    </row>
    <row r="4">
      <c r="A4" s="3" t="inlineStr">
        <is>
          <t>Risk-free rate</t>
        </is>
      </c>
      <c r="B4" s="9">
        <f>Assumptions!B5</f>
        <v/>
      </c>
    </row>
    <row r="5">
      <c r="A5" s="3" t="inlineStr">
        <is>
          <t>Beta</t>
        </is>
      </c>
      <c r="B5" s="10">
        <f>Assumptions!B7</f>
        <v/>
      </c>
    </row>
    <row r="6">
      <c r="A6" s="3" t="inlineStr">
        <is>
          <t>Equity risk premium</t>
        </is>
      </c>
      <c r="B6" s="9">
        <f>Assumptions!B6</f>
        <v/>
      </c>
    </row>
    <row r="7">
      <c r="A7" s="3" t="inlineStr">
        <is>
          <t>Cost of equity</t>
        </is>
      </c>
      <c r="B7" s="9">
        <f>B4+B5*B6</f>
        <v/>
      </c>
    </row>
    <row r="8">
      <c r="A8" s="3" t="inlineStr">
        <is>
          <t>Pre-tax cost of debt</t>
        </is>
      </c>
      <c r="B8" s="9">
        <f>Assumptions!B8</f>
        <v/>
      </c>
    </row>
    <row r="9">
      <c r="A9" s="3" t="inlineStr">
        <is>
          <t>Tax rate</t>
        </is>
      </c>
      <c r="B9" s="9">
        <f>Assumptions!B4</f>
        <v/>
      </c>
    </row>
    <row r="10">
      <c r="A10" s="3" t="inlineStr">
        <is>
          <t>After-tax cost of debt</t>
        </is>
      </c>
      <c r="B10" s="9">
        <f>B8*(1-B9)</f>
        <v/>
      </c>
    </row>
    <row r="11">
      <c r="A11" s="3" t="inlineStr">
        <is>
          <t>Equity value ($m)</t>
        </is>
      </c>
      <c r="B11" s="11">
        <f>Assumptions!B9*Assumptions!B10</f>
        <v/>
      </c>
    </row>
    <row r="12">
      <c r="A12" s="3" t="inlineStr">
        <is>
          <t>Debt value ($m)</t>
        </is>
      </c>
      <c r="B12" s="11">
        <f>Assumptions!B28</f>
        <v/>
      </c>
    </row>
    <row r="13">
      <c r="A13" s="3" t="inlineStr">
        <is>
          <t>Equity weight</t>
        </is>
      </c>
      <c r="B13" s="9">
        <f>B11/(B11+B12)</f>
        <v/>
      </c>
    </row>
    <row r="14">
      <c r="A14" s="3" t="inlineStr">
        <is>
          <t>Debt weight</t>
        </is>
      </c>
      <c r="B14" s="9">
        <f>B12/(B11+B12)</f>
        <v/>
      </c>
    </row>
    <row r="15">
      <c r="A15" s="8" t="inlineStr">
        <is>
          <t>WACC</t>
        </is>
      </c>
      <c r="B15" s="12">
        <f>B13*B7+B14*B10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Micron (MU) — Income statement, FCFF, balance sheet &amp; cash flow ($m)</t>
        </is>
      </c>
    </row>
    <row r="3">
      <c r="B3" s="13" t="inlineStr">
        <is>
          <t>FY2022</t>
        </is>
      </c>
      <c r="C3" s="13" t="inlineStr">
        <is>
          <t>FY2023</t>
        </is>
      </c>
      <c r="D3" s="13" t="inlineStr">
        <is>
          <t>FY2024</t>
        </is>
      </c>
      <c r="E3" s="13" t="inlineStr">
        <is>
          <t>FY2025</t>
        </is>
      </c>
      <c r="F3" s="13" t="inlineStr">
        <is>
          <t>Yr1</t>
        </is>
      </c>
      <c r="G3" s="13" t="inlineStr">
        <is>
          <t>Yr2</t>
        </is>
      </c>
      <c r="H3" s="13" t="inlineStr">
        <is>
          <t>Yr3</t>
        </is>
      </c>
      <c r="I3" s="13" t="inlineStr">
        <is>
          <t>Yr4</t>
        </is>
      </c>
      <c r="J3" s="13" t="inlineStr">
        <is>
          <t>Yr5</t>
        </is>
      </c>
    </row>
    <row r="4">
      <c r="A4" s="8" t="inlineStr">
        <is>
          <t>Revenue ($m)</t>
        </is>
      </c>
      <c r="B4" s="7" t="n">
        <v>30758</v>
      </c>
      <c r="C4" s="7" t="n">
        <v>15540</v>
      </c>
      <c r="D4" s="7" t="n">
        <v>25111</v>
      </c>
      <c r="E4" s="7" t="n">
        <v>37378</v>
      </c>
      <c r="F4" s="11">
        <f>E4*(1+Assumptions!B16)</f>
        <v/>
      </c>
      <c r="G4" s="11">
        <f>F4*(1+Assumptions!B17)</f>
        <v/>
      </c>
      <c r="H4" s="11">
        <f>G4*(1+Assumptions!B18)</f>
        <v/>
      </c>
      <c r="I4" s="11">
        <f>H4*(1+Assumptions!B19)</f>
        <v/>
      </c>
      <c r="J4" s="11">
        <f>I4*(1+Assumptions!B20)</f>
        <v/>
      </c>
    </row>
    <row r="5">
      <c r="A5" s="3" t="inlineStr">
        <is>
          <t>Gross profit ($m)</t>
        </is>
      </c>
      <c r="B5" s="7" t="n">
        <v>13898</v>
      </c>
      <c r="C5" s="7" t="n">
        <v>-1416</v>
      </c>
      <c r="D5" s="7" t="n">
        <v>5613</v>
      </c>
      <c r="E5" s="7" t="n">
        <v>14873</v>
      </c>
    </row>
    <row r="6">
      <c r="A6" s="3" t="inlineStr">
        <is>
          <t>R&amp;D ($m)</t>
        </is>
      </c>
      <c r="B6" s="7" t="n">
        <v>3116</v>
      </c>
      <c r="C6" s="7" t="n">
        <v>3114</v>
      </c>
      <c r="D6" s="7" t="n">
        <v>3430</v>
      </c>
      <c r="E6" s="7" t="n">
        <v>3798</v>
      </c>
    </row>
    <row r="7">
      <c r="A7" s="3" t="inlineStr">
        <is>
          <t>SG&amp;A ($m)</t>
        </is>
      </c>
      <c r="B7" s="7" t="n">
        <v>1066</v>
      </c>
      <c r="C7" s="7" t="n">
        <v>920</v>
      </c>
      <c r="D7" s="7" t="n">
        <v>1129</v>
      </c>
      <c r="E7" s="7" t="n">
        <v>1205</v>
      </c>
    </row>
    <row r="8">
      <c r="A8" s="8" t="inlineStr">
        <is>
          <t>EBIT ($m)</t>
        </is>
      </c>
      <c r="B8" s="7" t="n">
        <v>9702</v>
      </c>
      <c r="C8" s="7" t="n">
        <v>-5745</v>
      </c>
      <c r="D8" s="7" t="n">
        <v>1304</v>
      </c>
      <c r="E8" s="7" t="n">
        <v>9770</v>
      </c>
      <c r="F8" s="11">
        <f>F4*Assumptions!B22</f>
        <v/>
      </c>
      <c r="G8" s="11">
        <f>G4*Assumptions!B23</f>
        <v/>
      </c>
      <c r="H8" s="11">
        <f>H4*Assumptions!B24</f>
        <v/>
      </c>
      <c r="I8" s="11">
        <f>I4*Assumptions!B25</f>
        <v/>
      </c>
      <c r="J8" s="11">
        <f>J4*Assumptions!B26</f>
        <v/>
      </c>
    </row>
    <row r="9">
      <c r="A9" s="3" t="inlineStr">
        <is>
          <t>EBIT margin (%)</t>
        </is>
      </c>
      <c r="B9" s="9">
        <f>B8/B4</f>
        <v/>
      </c>
      <c r="C9" s="9">
        <f>C8/C4</f>
        <v/>
      </c>
      <c r="D9" s="9">
        <f>D8/D4</f>
        <v/>
      </c>
      <c r="E9" s="9">
        <f>E8/E4</f>
        <v/>
      </c>
      <c r="F9" s="9">
        <f>F8/F4</f>
        <v/>
      </c>
      <c r="G9" s="9">
        <f>G8/G4</f>
        <v/>
      </c>
      <c r="H9" s="9">
        <f>H8/H4</f>
        <v/>
      </c>
      <c r="I9" s="9">
        <f>I8/I4</f>
        <v/>
      </c>
      <c r="J9" s="9">
        <f>J8/J4</f>
        <v/>
      </c>
    </row>
    <row r="10">
      <c r="A10" s="3" t="inlineStr">
        <is>
          <t>Net income ($m)</t>
        </is>
      </c>
      <c r="B10" s="7" t="n">
        <v>8687</v>
      </c>
      <c r="C10" s="7" t="n">
        <v>-5833</v>
      </c>
      <c r="D10" s="7" t="n">
        <v>778</v>
      </c>
      <c r="E10" s="7" t="n">
        <v>8539</v>
      </c>
    </row>
    <row r="11">
      <c r="A11" s="3" t="inlineStr">
        <is>
          <t>EPS diluted ($)</t>
        </is>
      </c>
      <c r="B11" s="5" t="n">
        <v>7.75</v>
      </c>
      <c r="C11" s="5" t="n">
        <v>-5.34</v>
      </c>
      <c r="D11" s="5" t="n">
        <v>0.7</v>
      </c>
      <c r="E11" s="5" t="n">
        <v>7.59</v>
      </c>
    </row>
    <row r="13">
      <c r="A13" s="8" t="inlineStr">
        <is>
          <t>Free cash flow to firm (projection)</t>
        </is>
      </c>
    </row>
    <row r="14">
      <c r="A14" s="3" t="inlineStr">
        <is>
          <t>NOPAT ($m)</t>
        </is>
      </c>
      <c r="F14" s="11">
        <f>F8*(1-Assumptions!B4)</f>
        <v/>
      </c>
      <c r="G14" s="11">
        <f>G8*(1-Assumptions!B4)</f>
        <v/>
      </c>
      <c r="H14" s="11">
        <f>H8*(1-Assumptions!B4)</f>
        <v/>
      </c>
      <c r="I14" s="11">
        <f>I8*(1-Assumptions!B4)</f>
        <v/>
      </c>
      <c r="J14" s="11">
        <f>J8*(1-Assumptions!B4)</f>
        <v/>
      </c>
    </row>
    <row r="15">
      <c r="A15" s="3" t="inlineStr">
        <is>
          <t>D&amp;A ($m)</t>
        </is>
      </c>
      <c r="B15" s="7" t="n">
        <v>7116</v>
      </c>
      <c r="C15" s="7" t="n">
        <v>7756</v>
      </c>
      <c r="D15" s="7" t="n">
        <v>7780</v>
      </c>
      <c r="E15" s="7" t="n">
        <v>8352</v>
      </c>
      <c r="F15" s="11">
        <f>F4*Assumptions!B12</f>
        <v/>
      </c>
      <c r="G15" s="11">
        <f>G4*Assumptions!B12</f>
        <v/>
      </c>
      <c r="H15" s="11">
        <f>H4*Assumptions!B12</f>
        <v/>
      </c>
      <c r="I15" s="11">
        <f>I4*Assumptions!B12</f>
        <v/>
      </c>
      <c r="J15" s="11">
        <f>J4*Assumptions!B12</f>
        <v/>
      </c>
    </row>
    <row r="16">
      <c r="A16" s="3" t="inlineStr">
        <is>
          <t>Capex ($m)</t>
        </is>
      </c>
      <c r="B16" s="7" t="n">
        <v>12067</v>
      </c>
      <c r="C16" s="7" t="n">
        <v>7676</v>
      </c>
      <c r="D16" s="7" t="n">
        <v>8386</v>
      </c>
      <c r="E16" s="7" t="n">
        <v>15857</v>
      </c>
      <c r="F16" s="11">
        <f>F4*Assumptions!B13</f>
        <v/>
      </c>
      <c r="G16" s="11">
        <f>G4*Assumptions!B13</f>
        <v/>
      </c>
      <c r="H16" s="11">
        <f>H4*Assumptions!B13</f>
        <v/>
      </c>
      <c r="I16" s="11">
        <f>I4*Assumptions!B13</f>
        <v/>
      </c>
      <c r="J16" s="11">
        <f>J4*Assumptions!B13</f>
        <v/>
      </c>
    </row>
    <row r="17">
      <c r="A17" s="3" t="inlineStr">
        <is>
          <t>Incr. NWC ($m)</t>
        </is>
      </c>
      <c r="F17" s="11">
        <f>(F4-E4)*Assumptions!B14</f>
        <v/>
      </c>
      <c r="G17" s="11">
        <f>(G4-F4)*Assumptions!B14</f>
        <v/>
      </c>
      <c r="H17" s="11">
        <f>(H4-G4)*Assumptions!B14</f>
        <v/>
      </c>
      <c r="I17" s="11">
        <f>(I4-H4)*Assumptions!B14</f>
        <v/>
      </c>
      <c r="J17" s="11">
        <f>(J4-I4)*Assumptions!B14</f>
        <v/>
      </c>
    </row>
    <row r="18">
      <c r="A18" s="8" t="inlineStr">
        <is>
          <t>FCFF ($m)</t>
        </is>
      </c>
      <c r="F18" s="11">
        <f>F14+F15-F16-F17</f>
        <v/>
      </c>
      <c r="G18" s="11">
        <f>G14+G15-G16-G17</f>
        <v/>
      </c>
      <c r="H18" s="11">
        <f>H14+H15-H16-H17</f>
        <v/>
      </c>
      <c r="I18" s="11">
        <f>I14+I15-I16-I17</f>
        <v/>
      </c>
      <c r="J18" s="11">
        <f>J14+J15-J16-J17</f>
        <v/>
      </c>
    </row>
    <row r="20">
      <c r="A20" s="8" t="inlineStr">
        <is>
          <t>Balance sheet (FY actuals)</t>
        </is>
      </c>
    </row>
    <row r="21">
      <c r="A21" s="3" t="inlineStr">
        <is>
          <t>Total assets ($m)</t>
        </is>
      </c>
      <c r="B21" s="7" t="n">
        <v>66283</v>
      </c>
      <c r="C21" s="7" t="n">
        <v>64254</v>
      </c>
      <c r="D21" s="7" t="n">
        <v>69416</v>
      </c>
      <c r="E21" s="7" t="n">
        <v>82798</v>
      </c>
    </row>
    <row r="22">
      <c r="A22" s="3" t="inlineStr">
        <is>
          <t>Cash &amp; equivalents ($m)</t>
        </is>
      </c>
      <c r="B22" s="7" t="n">
        <v>8262</v>
      </c>
      <c r="C22" s="7" t="n">
        <v>8577</v>
      </c>
      <c r="D22" s="7" t="n">
        <v>7041</v>
      </c>
      <c r="E22" s="7" t="n">
        <v>9642</v>
      </c>
    </row>
    <row r="23">
      <c r="A23" s="3" t="inlineStr">
        <is>
          <t>Long-term debt ($m)</t>
        </is>
      </c>
      <c r="B23" s="7" t="n">
        <v>6020</v>
      </c>
      <c r="C23" s="7" t="n">
        <v>12049</v>
      </c>
      <c r="D23" s="7" t="n">
        <v>11343</v>
      </c>
      <c r="E23" s="7" t="n">
        <v>11533</v>
      </c>
    </row>
    <row r="24">
      <c r="A24" s="3" t="inlineStr">
        <is>
          <t>Stockholders' equity ($m)</t>
        </is>
      </c>
      <c r="B24" s="7" t="n">
        <v>49907</v>
      </c>
      <c r="C24" s="7" t="n">
        <v>44120</v>
      </c>
      <c r="D24" s="7" t="n">
        <v>45131</v>
      </c>
      <c r="E24" s="7" t="n">
        <v>54165</v>
      </c>
    </row>
    <row r="26">
      <c r="A26" s="8" t="inlineStr">
        <is>
          <t>Cash flow (FY actuals)</t>
        </is>
      </c>
    </row>
    <row r="27">
      <c r="A27" s="3" t="inlineStr">
        <is>
          <t>Cash from operations ($m)</t>
        </is>
      </c>
      <c r="B27" s="7" t="n">
        <v>15181</v>
      </c>
      <c r="C27" s="7" t="n">
        <v>1559</v>
      </c>
      <c r="D27" s="7" t="n">
        <v>8507</v>
      </c>
      <c r="E27" s="7" t="n">
        <v>17525</v>
      </c>
    </row>
    <row r="28">
      <c r="A28" s="3" t="inlineStr">
        <is>
          <t>Capex ($m)</t>
        </is>
      </c>
      <c r="B28" s="7" t="n">
        <v>12067</v>
      </c>
      <c r="C28" s="7" t="n">
        <v>7676</v>
      </c>
      <c r="D28" s="7" t="n">
        <v>8386</v>
      </c>
      <c r="E28" s="7" t="n">
        <v>15857</v>
      </c>
    </row>
    <row r="29">
      <c r="A29" s="3" t="inlineStr">
        <is>
          <t>Free cash flow (CFO - capex) ($m)</t>
        </is>
      </c>
      <c r="B29" s="11">
        <f>B27-B28</f>
        <v/>
      </c>
      <c r="C29" s="11">
        <f>C27-C28</f>
        <v/>
      </c>
      <c r="D29" s="11">
        <f>D27-D28</f>
        <v/>
      </c>
      <c r="E29" s="11">
        <f>E27-E28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Discounted cash flow (FCFF)</t>
        </is>
      </c>
    </row>
    <row r="3">
      <c r="A3" s="3" t="inlineStr">
        <is>
          <t>Year</t>
        </is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</row>
    <row r="4">
      <c r="A4" s="3" t="inlineStr">
        <is>
          <t>FCFF ($m)</t>
        </is>
      </c>
      <c r="B4" s="11">
        <f>Model!F18</f>
        <v/>
      </c>
      <c r="C4" s="11">
        <f>Model!G18</f>
        <v/>
      </c>
      <c r="D4" s="11">
        <f>Model!H18</f>
        <v/>
      </c>
      <c r="E4" s="11">
        <f>Model!I18</f>
        <v/>
      </c>
      <c r="F4" s="11">
        <f>Model!J18</f>
        <v/>
      </c>
    </row>
    <row r="5">
      <c r="A5" s="3" t="inlineStr">
        <is>
          <t>Discount factor</t>
        </is>
      </c>
      <c r="B5" s="10">
        <f>1/(1+WACC!$B$15)^B3</f>
        <v/>
      </c>
      <c r="C5" s="10">
        <f>1/(1+WACC!$B$15)^C3</f>
        <v/>
      </c>
      <c r="D5" s="10">
        <f>1/(1+WACC!$B$15)^D3</f>
        <v/>
      </c>
      <c r="E5" s="10">
        <f>1/(1+WACC!$B$15)^E3</f>
        <v/>
      </c>
      <c r="F5" s="10">
        <f>1/(1+WACC!$B$15)^F3</f>
        <v/>
      </c>
    </row>
    <row r="6">
      <c r="A6" s="3" t="inlineStr">
        <is>
          <t>PV of FCFF ($m)</t>
        </is>
      </c>
      <c r="B6" s="11">
        <f>B4*B5</f>
        <v/>
      </c>
      <c r="C6" s="11">
        <f>C4*C5</f>
        <v/>
      </c>
      <c r="D6" s="11">
        <f>D4*D5</f>
        <v/>
      </c>
      <c r="E6" s="11">
        <f>E4*E5</f>
        <v/>
      </c>
      <c r="F6" s="11">
        <f>F4*F5</f>
        <v/>
      </c>
    </row>
    <row r="8">
      <c r="A8" s="3" t="inlineStr">
        <is>
          <t>Sum PV of FCFF ($m)</t>
        </is>
      </c>
      <c r="B8" s="11">
        <f>SUM(B6:F6)</f>
        <v/>
      </c>
    </row>
    <row r="9">
      <c r="A9" s="3" t="inlineStr">
        <is>
          <t>Terminal value ($m)</t>
        </is>
      </c>
      <c r="B9" s="11">
        <f>F4*(1+Assumptions!B11)/(WACC!B15-Assumptions!B11)</f>
        <v/>
      </c>
    </row>
    <row r="10">
      <c r="A10" s="3" t="inlineStr">
        <is>
          <t>PV of terminal value ($m)</t>
        </is>
      </c>
      <c r="B10" s="11">
        <f>B9*F5</f>
        <v/>
      </c>
    </row>
    <row r="11">
      <c r="A11" s="8" t="inlineStr">
        <is>
          <t>Enterprise value ($m)</t>
        </is>
      </c>
      <c r="B11" s="11">
        <f>B8+B10</f>
        <v/>
      </c>
    </row>
    <row r="12">
      <c r="A12" s="3" t="inlineStr">
        <is>
          <t>Less: net debt ($m)</t>
        </is>
      </c>
      <c r="B12" s="11">
        <f>Assumptions!B28-Assumptions!B29</f>
        <v/>
      </c>
    </row>
    <row r="13">
      <c r="A13" s="8" t="inlineStr">
        <is>
          <t>Equity value ($m)</t>
        </is>
      </c>
      <c r="B13" s="11">
        <f>B11-B12</f>
        <v/>
      </c>
    </row>
    <row r="14">
      <c r="A14" s="3" t="inlineStr">
        <is>
          <t>Shares (m)</t>
        </is>
      </c>
      <c r="B14" s="11">
        <f>Assumptions!B10</f>
        <v/>
      </c>
    </row>
    <row r="15">
      <c r="A15" s="8" t="inlineStr">
        <is>
          <t>Value per share ($)</t>
        </is>
      </c>
      <c r="B15" s="14">
        <f>B13/B14</f>
        <v/>
      </c>
    </row>
    <row r="16">
      <c r="A16" s="3" t="inlineStr">
        <is>
          <t>TV as % of EV</t>
        </is>
      </c>
      <c r="B16" s="9">
        <f>B10/B11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Value per share — WACC (rows) x terminal growth (cols)</t>
        </is>
      </c>
    </row>
    <row r="3">
      <c r="B3" s="8" t="inlineStr">
        <is>
          <t>WACC \ g</t>
        </is>
      </c>
      <c r="C3" s="4" t="n">
        <v>0.015</v>
      </c>
      <c r="D3" s="4" t="n">
        <v>0.02</v>
      </c>
      <c r="E3" s="4" t="n">
        <v>0.025</v>
      </c>
      <c r="F3" s="4" t="n">
        <v>0.03</v>
      </c>
      <c r="G3" s="4" t="n">
        <v>0.035</v>
      </c>
    </row>
    <row r="4">
      <c r="B4" s="9">
        <f>WACC!$B$15-0.015</f>
        <v/>
      </c>
      <c r="C4" s="15">
        <f>(SUMPRODUCT(DCF!$B$4:$F$4,1/(1+$B4)^DCF!$B$3:$F$3)+(DCF!$F$4*(1+C$3)/($B4-C$3))/(1+$B4)^5-(Assumptions!$B$28-Assumptions!$B$29))/Assumptions!$B$10</f>
        <v/>
      </c>
      <c r="D4" s="15">
        <f>(SUMPRODUCT(DCF!$B$4:$F$4,1/(1+$B4)^DCF!$B$3:$F$3)+(DCF!$F$4*(1+D$3)/($B4-D$3))/(1+$B4)^5-(Assumptions!$B$28-Assumptions!$B$29))/Assumptions!$B$10</f>
        <v/>
      </c>
      <c r="E4" s="15">
        <f>(SUMPRODUCT(DCF!$B$4:$F$4,1/(1+$B4)^DCF!$B$3:$F$3)+(DCF!$F$4*(1+E$3)/($B4-E$3))/(1+$B4)^5-(Assumptions!$B$28-Assumptions!$B$29))/Assumptions!$B$10</f>
        <v/>
      </c>
      <c r="F4" s="15">
        <f>(SUMPRODUCT(DCF!$B$4:$F$4,1/(1+$B4)^DCF!$B$3:$F$3)+(DCF!$F$4*(1+F$3)/($B4-F$3))/(1+$B4)^5-(Assumptions!$B$28-Assumptions!$B$29))/Assumptions!$B$10</f>
        <v/>
      </c>
      <c r="G4" s="15">
        <f>(SUMPRODUCT(DCF!$B$4:$F$4,1/(1+$B4)^DCF!$B$3:$F$3)+(DCF!$F$4*(1+G$3)/($B4-G$3))/(1+$B4)^5-(Assumptions!$B$28-Assumptions!$B$29))/Assumptions!$B$10</f>
        <v/>
      </c>
    </row>
    <row r="5">
      <c r="B5" s="9">
        <f>WACC!$B$15-0.0075</f>
        <v/>
      </c>
      <c r="C5" s="15">
        <f>(SUMPRODUCT(DCF!$B$4:$F$4,1/(1+$B5)^DCF!$B$3:$F$3)+(DCF!$F$4*(1+C$3)/($B5-C$3))/(1+$B5)^5-(Assumptions!$B$28-Assumptions!$B$29))/Assumptions!$B$10</f>
        <v/>
      </c>
      <c r="D5" s="15">
        <f>(SUMPRODUCT(DCF!$B$4:$F$4,1/(1+$B5)^DCF!$B$3:$F$3)+(DCF!$F$4*(1+D$3)/($B5-D$3))/(1+$B5)^5-(Assumptions!$B$28-Assumptions!$B$29))/Assumptions!$B$10</f>
        <v/>
      </c>
      <c r="E5" s="15">
        <f>(SUMPRODUCT(DCF!$B$4:$F$4,1/(1+$B5)^DCF!$B$3:$F$3)+(DCF!$F$4*(1+E$3)/($B5-E$3))/(1+$B5)^5-(Assumptions!$B$28-Assumptions!$B$29))/Assumptions!$B$10</f>
        <v/>
      </c>
      <c r="F5" s="15">
        <f>(SUMPRODUCT(DCF!$B$4:$F$4,1/(1+$B5)^DCF!$B$3:$F$3)+(DCF!$F$4*(1+F$3)/($B5-F$3))/(1+$B5)^5-(Assumptions!$B$28-Assumptions!$B$29))/Assumptions!$B$10</f>
        <v/>
      </c>
      <c r="G5" s="15">
        <f>(SUMPRODUCT(DCF!$B$4:$F$4,1/(1+$B5)^DCF!$B$3:$F$3)+(DCF!$F$4*(1+G$3)/($B5-G$3))/(1+$B5)^5-(Assumptions!$B$28-Assumptions!$B$29))/Assumptions!$B$10</f>
        <v/>
      </c>
    </row>
    <row r="6">
      <c r="B6" s="9">
        <f>WACC!$B$15</f>
        <v/>
      </c>
      <c r="C6" s="15">
        <f>(SUMPRODUCT(DCF!$B$4:$F$4,1/(1+$B6)^DCF!$B$3:$F$3)+(DCF!$F$4*(1+C$3)/($B6-C$3))/(1+$B6)^5-(Assumptions!$B$28-Assumptions!$B$29))/Assumptions!$B$10</f>
        <v/>
      </c>
      <c r="D6" s="15">
        <f>(SUMPRODUCT(DCF!$B$4:$F$4,1/(1+$B6)^DCF!$B$3:$F$3)+(DCF!$F$4*(1+D$3)/($B6-D$3))/(1+$B6)^5-(Assumptions!$B$28-Assumptions!$B$29))/Assumptions!$B$10</f>
        <v/>
      </c>
      <c r="E6" s="14">
        <f>(SUMPRODUCT(DCF!$B$4:$F$4,1/(1+$B6)^DCF!$B$3:$F$3)+(DCF!$F$4*(1+E$3)/($B6-E$3))/(1+$B6)^5-(Assumptions!$B$28-Assumptions!$B$29))/Assumptions!$B$10</f>
        <v/>
      </c>
      <c r="F6" s="15">
        <f>(SUMPRODUCT(DCF!$B$4:$F$4,1/(1+$B6)^DCF!$B$3:$F$3)+(DCF!$F$4*(1+F$3)/($B6-F$3))/(1+$B6)^5-(Assumptions!$B$28-Assumptions!$B$29))/Assumptions!$B$10</f>
        <v/>
      </c>
      <c r="G6" s="15">
        <f>(SUMPRODUCT(DCF!$B$4:$F$4,1/(1+$B6)^DCF!$B$3:$F$3)+(DCF!$F$4*(1+G$3)/($B6-G$3))/(1+$B6)^5-(Assumptions!$B$28-Assumptions!$B$29))/Assumptions!$B$10</f>
        <v/>
      </c>
    </row>
    <row r="7">
      <c r="B7" s="9">
        <f>WACC!$B$15+0.0075</f>
        <v/>
      </c>
      <c r="C7" s="15">
        <f>(SUMPRODUCT(DCF!$B$4:$F$4,1/(1+$B7)^DCF!$B$3:$F$3)+(DCF!$F$4*(1+C$3)/($B7-C$3))/(1+$B7)^5-(Assumptions!$B$28-Assumptions!$B$29))/Assumptions!$B$10</f>
        <v/>
      </c>
      <c r="D7" s="15">
        <f>(SUMPRODUCT(DCF!$B$4:$F$4,1/(1+$B7)^DCF!$B$3:$F$3)+(DCF!$F$4*(1+D$3)/($B7-D$3))/(1+$B7)^5-(Assumptions!$B$28-Assumptions!$B$29))/Assumptions!$B$10</f>
        <v/>
      </c>
      <c r="E7" s="15">
        <f>(SUMPRODUCT(DCF!$B$4:$F$4,1/(1+$B7)^DCF!$B$3:$F$3)+(DCF!$F$4*(1+E$3)/($B7-E$3))/(1+$B7)^5-(Assumptions!$B$28-Assumptions!$B$29))/Assumptions!$B$10</f>
        <v/>
      </c>
      <c r="F7" s="15">
        <f>(SUMPRODUCT(DCF!$B$4:$F$4,1/(1+$B7)^DCF!$B$3:$F$3)+(DCF!$F$4*(1+F$3)/($B7-F$3))/(1+$B7)^5-(Assumptions!$B$28-Assumptions!$B$29))/Assumptions!$B$10</f>
        <v/>
      </c>
      <c r="G7" s="15">
        <f>(SUMPRODUCT(DCF!$B$4:$F$4,1/(1+$B7)^DCF!$B$3:$F$3)+(DCF!$F$4*(1+G$3)/($B7-G$3))/(1+$B7)^5-(Assumptions!$B$28-Assumptions!$B$29))/Assumptions!$B$10</f>
        <v/>
      </c>
    </row>
    <row r="8">
      <c r="B8" s="9">
        <f>WACC!$B$15+0.015</f>
        <v/>
      </c>
      <c r="C8" s="15">
        <f>(SUMPRODUCT(DCF!$B$4:$F$4,1/(1+$B8)^DCF!$B$3:$F$3)+(DCF!$F$4*(1+C$3)/($B8-C$3))/(1+$B8)^5-(Assumptions!$B$28-Assumptions!$B$29))/Assumptions!$B$10</f>
        <v/>
      </c>
      <c r="D8" s="15">
        <f>(SUMPRODUCT(DCF!$B$4:$F$4,1/(1+$B8)^DCF!$B$3:$F$3)+(DCF!$F$4*(1+D$3)/($B8-D$3))/(1+$B8)^5-(Assumptions!$B$28-Assumptions!$B$29))/Assumptions!$B$10</f>
        <v/>
      </c>
      <c r="E8" s="15">
        <f>(SUMPRODUCT(DCF!$B$4:$F$4,1/(1+$B8)^DCF!$B$3:$F$3)+(DCF!$F$4*(1+E$3)/($B8-E$3))/(1+$B8)^5-(Assumptions!$B$28-Assumptions!$B$29))/Assumptions!$B$10</f>
        <v/>
      </c>
      <c r="F8" s="15">
        <f>(SUMPRODUCT(DCF!$B$4:$F$4,1/(1+$B8)^DCF!$B$3:$F$3)+(DCF!$F$4*(1+F$3)/($B8-F$3))/(1+$B8)^5-(Assumptions!$B$28-Assumptions!$B$29))/Assumptions!$B$10</f>
        <v/>
      </c>
      <c r="G8" s="15">
        <f>(SUMPRODUCT(DCF!$B$4:$F$4,1/(1+$B8)^DCF!$B$3:$F$3)+(DCF!$F$4*(1+G$3)/($B8-G$3))/(1+$B8)^5-(Assumptions!$B$28-Assumptions!$B$29))/Assumptions!$B$10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Comparable-company valuation</t>
        </is>
      </c>
    </row>
    <row r="2">
      <c r="A2" s="2" t="inlineStr">
        <is>
          <t>Peer multiples are ASSUMPTION inputs (semis-sector typical) — replace with live peers.</t>
        </is>
      </c>
    </row>
    <row r="4">
      <c r="A4" s="3" t="inlineStr">
        <is>
          <t>EBITDA FY2025 ($m)</t>
        </is>
      </c>
      <c r="B4" s="11">
        <f>Model!E8+Model!E15</f>
        <v/>
      </c>
    </row>
    <row r="5">
      <c r="A5" s="3" t="inlineStr">
        <is>
          <t>EV/EBITDA multiple (x) [ASSUMPTION]</t>
        </is>
      </c>
      <c r="B5" s="5" t="n">
        <v>8</v>
      </c>
    </row>
    <row r="6">
      <c r="A6" s="3" t="inlineStr">
        <is>
          <t>Implied EV ($m)</t>
        </is>
      </c>
      <c r="B6" s="11">
        <f>B4*B5</f>
        <v/>
      </c>
    </row>
    <row r="7">
      <c r="A7" s="3" t="inlineStr">
        <is>
          <t>Less: net debt ($m)</t>
        </is>
      </c>
      <c r="B7" s="11">
        <f>Assumptions!B28-Assumptions!B29</f>
        <v/>
      </c>
    </row>
    <row r="8">
      <c r="A8" s="3" t="inlineStr">
        <is>
          <t>Equity value ($m)</t>
        </is>
      </c>
      <c r="B8" s="11">
        <f>B6-B7</f>
        <v/>
      </c>
    </row>
    <row r="9">
      <c r="A9" s="3" t="inlineStr">
        <is>
          <t>Value/share — EV/EBITDA ($)</t>
        </is>
      </c>
      <c r="B9" s="15">
        <f>B8/Assumptions!B10</f>
        <v/>
      </c>
    </row>
    <row r="11">
      <c r="A11" s="3" t="inlineStr">
        <is>
          <t>EPS FY2025 ($)</t>
        </is>
      </c>
      <c r="B11" s="10">
        <f>Model!E11</f>
        <v/>
      </c>
    </row>
    <row r="12">
      <c r="A12" s="3" t="inlineStr">
        <is>
          <t>P/E multiple (x) [ASSUMPTION]</t>
        </is>
      </c>
      <c r="B12" s="5" t="n">
        <v>15</v>
      </c>
    </row>
    <row r="13">
      <c r="A13" s="3" t="inlineStr">
        <is>
          <t>Value/share — P/E ($)</t>
        </is>
      </c>
      <c r="B13" s="15">
        <f>B11*B12</f>
        <v/>
      </c>
    </row>
    <row r="14">
      <c r="A14" s="8" t="inlineStr">
        <is>
          <t>Comps midpoint ($)</t>
        </is>
      </c>
      <c r="B14" s="14">
        <f>AVERAGE(B9,B13)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2026-06-18T18:56:22Z</dcterms:created>
  <dcterms:modified xmlns:dcterms="http://purl.org/dc/terms/" xmlns:xsi="http://www.w3.org/2001/XMLSchema-instance" xsi:type="dcterms:W3CDTF">2026-06-18T18:56:22Z</dcterms:modified>
</cp:coreProperties>
</file>