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derwriting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&quot;x&quot;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6" fontId="3" fillId="0" borderId="0" pivotButton="0" quotePrefix="0" xfId="0"/>
    <xf numFmtId="10" fontId="3" fillId="3" borderId="0" pivotButton="0" quotePrefix="0" xfId="0"/>
    <xf numFmtId="166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Value-add deal — Assumptions (GBP)</t>
        </is>
      </c>
    </row>
    <row r="2">
      <c r="A2" s="2" t="inlineStr">
        <is>
          <t>Edit these inputs and the Underwriting tab recalculates.</t>
        </is>
      </c>
    </row>
    <row r="4">
      <c r="A4" s="3" t="inlineStr">
        <is>
          <t>Purchase price</t>
        </is>
      </c>
      <c r="B4" s="4" t="n">
        <v>10000000</v>
      </c>
    </row>
    <row r="5">
      <c r="A5" s="3" t="inlineStr">
        <is>
          <t>In-place NOI</t>
        </is>
      </c>
      <c r="B5" s="4" t="n">
        <v>600000</v>
      </c>
    </row>
    <row r="6">
      <c r="A6" s="3" t="inlineStr">
        <is>
          <t>Going-in cap rate</t>
        </is>
      </c>
      <c r="B6" s="5" t="n">
        <v>0.06</v>
      </c>
    </row>
    <row r="7">
      <c r="A7" s="3" t="inlineStr">
        <is>
          <t>Exit cap rate</t>
        </is>
      </c>
      <c r="B7" s="5" t="n">
        <v>0.0575</v>
      </c>
    </row>
    <row r="8">
      <c r="A8" s="3" t="inlineStr">
        <is>
          <t>Hold (years)</t>
        </is>
      </c>
      <c r="B8" s="6" t="n">
        <v>5</v>
      </c>
    </row>
    <row r="9">
      <c r="A9" s="3" t="inlineStr">
        <is>
          <t>NOI uplift (value-add)</t>
        </is>
      </c>
      <c r="B9" s="7" t="n">
        <v>0.3</v>
      </c>
    </row>
    <row r="10">
      <c r="A10" s="3" t="inlineStr">
        <is>
          <t>Stabilize (years)</t>
        </is>
      </c>
      <c r="B10" s="6" t="n">
        <v>2</v>
      </c>
    </row>
    <row r="11">
      <c r="A11" s="3" t="inlineStr">
        <is>
          <t>Post-stabilize NOI growth</t>
        </is>
      </c>
      <c r="B11" s="5" t="n">
        <v>0.03</v>
      </c>
    </row>
    <row r="12">
      <c r="A12" s="3" t="inlineStr">
        <is>
          <t>Renovation capex</t>
        </is>
      </c>
      <c r="B12" s="4" t="n">
        <v>1500000</v>
      </c>
    </row>
    <row r="13">
      <c r="A13" s="3" t="inlineStr">
        <is>
          <t>Acquisition costs (%)</t>
        </is>
      </c>
      <c r="B13" s="7" t="n">
        <v>0.02</v>
      </c>
    </row>
    <row r="14">
      <c r="A14" s="3" t="inlineStr">
        <is>
          <t>Selling costs (%)</t>
        </is>
      </c>
      <c r="B14" s="7" t="n">
        <v>0.015</v>
      </c>
    </row>
    <row r="15">
      <c r="A15" s="3" t="inlineStr">
        <is>
          <t>LTV</t>
        </is>
      </c>
      <c r="B15" s="7" t="n">
        <v>0.65</v>
      </c>
    </row>
    <row r="16">
      <c r="A16" s="3" t="inlineStr">
        <is>
          <t>Interest rate (IO)</t>
        </is>
      </c>
      <c r="B16" s="5" t="n">
        <v>0.065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Underwriting (levered)</t>
        </is>
      </c>
    </row>
    <row r="3">
      <c r="A3" s="3" t="inlineStr">
        <is>
          <t>Stabilized NOI</t>
        </is>
      </c>
      <c r="B3" s="4">
        <f>Assumptions!B5*(1+Assumptions!B9)</f>
        <v/>
      </c>
    </row>
    <row r="4">
      <c r="A4" s="3" t="inlineStr">
        <is>
          <t>Total cost</t>
        </is>
      </c>
      <c r="B4" s="4">
        <f>Assumptions!B4*(1+Assumptions!B13)+Assumptions!B12</f>
        <v/>
      </c>
    </row>
    <row r="5">
      <c r="A5" s="3" t="inlineStr">
        <is>
          <t>Loan</t>
        </is>
      </c>
      <c r="B5" s="4">
        <f>Assumptions!B15*Assumptions!B4</f>
        <v/>
      </c>
    </row>
    <row r="6">
      <c r="A6" s="3" t="inlineStr">
        <is>
          <t>Equity invested</t>
        </is>
      </c>
      <c r="B6" s="4">
        <f>B4-B5</f>
        <v/>
      </c>
    </row>
    <row r="7">
      <c r="A7" s="3" t="inlineStr">
        <is>
          <t>Debt service (IO)</t>
        </is>
      </c>
      <c r="B7" s="4">
        <f>B5*Assumptions!B16</f>
        <v/>
      </c>
    </row>
    <row r="8">
      <c r="A8" s="3" t="inlineStr">
        <is>
          <t>Debt yield</t>
        </is>
      </c>
      <c r="B8" s="7">
        <f>Assumptions!B5/B5</f>
        <v/>
      </c>
    </row>
    <row r="9">
      <c r="A9" s="3" t="inlineStr">
        <is>
          <t>LTC</t>
        </is>
      </c>
      <c r="B9" s="7">
        <f>B5/B4</f>
        <v/>
      </c>
    </row>
    <row r="11">
      <c r="A11" s="8" t="inlineStr">
        <is>
          <t>Year</t>
        </is>
      </c>
      <c r="B11" s="9" t="inlineStr">
        <is>
          <t>0</t>
        </is>
      </c>
      <c r="C11" s="9" t="inlineStr">
        <is>
          <t>1</t>
        </is>
      </c>
      <c r="D11" s="9" t="inlineStr">
        <is>
          <t>2</t>
        </is>
      </c>
      <c r="E11" s="9" t="inlineStr">
        <is>
          <t>3</t>
        </is>
      </c>
      <c r="F11" s="9" t="inlineStr">
        <is>
          <t>4</t>
        </is>
      </c>
      <c r="G11" s="9" t="inlineStr">
        <is>
          <t>5</t>
        </is>
      </c>
    </row>
    <row r="12">
      <c r="A12" s="3" t="inlineStr">
        <is>
          <t>NOI</t>
        </is>
      </c>
      <c r="C12" s="4">
        <f>IF(1&lt;=Assumptions!B10,Assumptions!B5+($B$3-Assumptions!B5)*1/Assumptions!B10,$B$3*(1+Assumptions!B11)^(1-Assumptions!B10))</f>
        <v/>
      </c>
      <c r="D12" s="4">
        <f>IF(2&lt;=Assumptions!B10,Assumptions!B5+($B$3-Assumptions!B5)*2/Assumptions!B10,$B$3*(1+Assumptions!B11)^(2-Assumptions!B10))</f>
        <v/>
      </c>
      <c r="E12" s="4">
        <f>IF(3&lt;=Assumptions!B10,Assumptions!B5+($B$3-Assumptions!B5)*3/Assumptions!B10,$B$3*(1+Assumptions!B11)^(3-Assumptions!B10))</f>
        <v/>
      </c>
      <c r="F12" s="4">
        <f>IF(4&lt;=Assumptions!B10,Assumptions!B5+($B$3-Assumptions!B5)*4/Assumptions!B10,$B$3*(1+Assumptions!B11)^(4-Assumptions!B10))</f>
        <v/>
      </c>
      <c r="G12" s="4">
        <f>IF(5&lt;=Assumptions!B10,Assumptions!B5+($B$3-Assumptions!B5)*5/Assumptions!B10,$B$3*(1+Assumptions!B11)^(5-Assumptions!B10))</f>
        <v/>
      </c>
    </row>
    <row r="13">
      <c r="A13" s="3" t="inlineStr">
        <is>
          <t>DSCR</t>
        </is>
      </c>
      <c r="C13" s="10">
        <f>C12/$B$7</f>
        <v/>
      </c>
      <c r="D13" s="10">
        <f>D12/$B$7</f>
        <v/>
      </c>
      <c r="E13" s="10">
        <f>E12/$B$7</f>
        <v/>
      </c>
      <c r="F13" s="10">
        <f>F12/$B$7</f>
        <v/>
      </c>
      <c r="G13" s="10">
        <f>G12/$B$7</f>
        <v/>
      </c>
    </row>
    <row r="14">
      <c r="A14" s="8" t="inlineStr">
        <is>
          <t>Equity cash flow</t>
        </is>
      </c>
      <c r="B14" s="4">
        <f>-B6</f>
        <v/>
      </c>
      <c r="C14" s="4">
        <f>C12-$B$7</f>
        <v/>
      </c>
      <c r="D14" s="4">
        <f>D12-$B$7</f>
        <v/>
      </c>
      <c r="E14" s="4">
        <f>E12-$B$7</f>
        <v/>
      </c>
      <c r="F14" s="4">
        <f>F12-$B$7</f>
        <v/>
      </c>
      <c r="G14" s="4">
        <f>G12-$B$7+(($B$3*(1+Assumptions!B11)^(5+1-Assumptions!B10))/Assumptions!B7*(1-Assumptions!B14)-B5)</f>
        <v/>
      </c>
    </row>
    <row r="16">
      <c r="A16" s="8" t="inlineStr">
        <is>
          <t>Project IRR</t>
        </is>
      </c>
      <c r="B16" s="11">
        <f>IRR(B14:G14)</f>
        <v/>
      </c>
    </row>
    <row r="17">
      <c r="A17" s="8" t="inlineStr">
        <is>
          <t>Equity multiple</t>
        </is>
      </c>
      <c r="B17" s="12">
        <f>SUM(C14:G14)/B6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LP / GP equity waterfall</t>
        </is>
      </c>
    </row>
    <row r="2">
      <c r="A2" s="2" t="inlineStr">
        <is>
          <t>Tiers: 8%→GP 20% · 12%→GP 30% · 15%→GP 40%.  Below first hurdle: LP 100% (capital + preferred).</t>
        </is>
      </c>
    </row>
    <row r="4">
      <c r="A4" s="8" t="inlineStr">
        <is>
          <t>Year</t>
        </is>
      </c>
      <c r="B4" s="9" t="inlineStr">
        <is>
          <t>0</t>
        </is>
      </c>
      <c r="C4" s="9" t="inlineStr">
        <is>
          <t>1</t>
        </is>
      </c>
      <c r="D4" s="9" t="inlineStr">
        <is>
          <t>2</t>
        </is>
      </c>
      <c r="E4" s="9" t="inlineStr">
        <is>
          <t>3</t>
        </is>
      </c>
      <c r="F4" s="9" t="inlineStr">
        <is>
          <t>4</t>
        </is>
      </c>
      <c r="G4" s="9" t="inlineStr">
        <is>
          <t>5</t>
        </is>
      </c>
    </row>
    <row r="5">
      <c r="A5" s="3" t="inlineStr">
        <is>
          <t>Equity cash flow</t>
        </is>
      </c>
      <c r="B5" s="4">
        <f>Underwriting!B14</f>
        <v/>
      </c>
      <c r="C5" s="4">
        <f>Underwriting!C14</f>
        <v/>
      </c>
      <c r="D5" s="4">
        <f>Underwriting!D14</f>
        <v/>
      </c>
      <c r="E5" s="4">
        <f>Underwriting!E14</f>
        <v/>
      </c>
      <c r="F5" s="4">
        <f>Underwriting!F14</f>
        <v/>
      </c>
      <c r="G5" s="4">
        <f>Underwriting!G14</f>
        <v/>
      </c>
    </row>
    <row r="6">
      <c r="A6" s="3" t="inlineStr">
        <is>
          <t>LP distribution</t>
        </is>
      </c>
      <c r="B6" s="4" t="n">
        <v>-5200000</v>
      </c>
      <c r="C6" s="4" t="n">
        <v>267500</v>
      </c>
      <c r="D6" s="4" t="n">
        <v>357500</v>
      </c>
      <c r="E6" s="4" t="n">
        <v>380900</v>
      </c>
      <c r="F6" s="4" t="n">
        <v>405002</v>
      </c>
      <c r="G6" s="4" t="n">
        <v>8232002.18</v>
      </c>
    </row>
    <row r="7">
      <c r="A7" s="3" t="inlineStr">
        <is>
          <t>GP promote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736579.99</v>
      </c>
    </row>
    <row r="8">
      <c r="A8" s="3" t="inlineStr">
        <is>
          <t>Check (LP+GP−CF)</t>
        </is>
      </c>
      <c r="B8" s="4">
        <f>B6+B7-B5</f>
        <v/>
      </c>
      <c r="C8" s="4">
        <f>C6+C7-C5</f>
        <v/>
      </c>
      <c r="D8" s="4">
        <f>D6+D7-D5</f>
        <v/>
      </c>
      <c r="E8" s="4">
        <f>E6+E7-E5</f>
        <v/>
      </c>
      <c r="F8" s="4">
        <f>F6+F7-F5</f>
        <v/>
      </c>
      <c r="G8" s="4">
        <f>G6+G7-G5</f>
        <v/>
      </c>
    </row>
    <row r="10">
      <c r="A10" s="8" t="inlineStr">
        <is>
          <t>Project IRR</t>
        </is>
      </c>
      <c r="B10" s="5">
        <f>IRR(B5:G5)</f>
        <v/>
      </c>
    </row>
    <row r="11">
      <c r="A11" s="8" t="inlineStr">
        <is>
          <t>LP IRR</t>
        </is>
      </c>
      <c r="B11" s="11">
        <f>IRR(B6:G6)</f>
        <v/>
      </c>
    </row>
    <row r="12">
      <c r="A12" s="3" t="inlineStr">
        <is>
          <t>LP equity multiple</t>
        </is>
      </c>
      <c r="B12" s="10">
        <f>SUM(C6:G6)/-B6</f>
        <v/>
      </c>
    </row>
    <row r="13">
      <c r="A13" s="8" t="inlineStr">
        <is>
          <t>GP promote (total)</t>
        </is>
      </c>
      <c r="B13" s="13">
        <f>SUM(C7:G7)</f>
        <v/>
      </c>
    </row>
    <row r="14">
      <c r="A14" s="3" t="inlineStr">
        <is>
          <t>GP share of profit</t>
        </is>
      </c>
      <c r="B14" s="7">
        <f>B13/SUM(C5:G5)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LP IRR — exit cap (rows) × NOI uplift (cols)</t>
        </is>
      </c>
    </row>
    <row r="2">
      <c r="A2" s="2" t="inlineStr">
        <is>
          <t>Computed by waterfall.py (LP IRR is iterative).</t>
        </is>
      </c>
    </row>
    <row r="3">
      <c r="B3" s="8" t="inlineStr">
        <is>
          <t>exit\uplift</t>
        </is>
      </c>
      <c r="C3" s="7" t="n">
        <v>0.1</v>
      </c>
      <c r="D3" s="7" t="n">
        <v>0.2</v>
      </c>
      <c r="E3" s="7" t="n">
        <v>0.3</v>
      </c>
      <c r="F3" s="7" t="n">
        <v>0.4</v>
      </c>
      <c r="G3" s="7" t="n">
        <v>0.5</v>
      </c>
    </row>
    <row r="4">
      <c r="B4" s="5" t="n">
        <v>0.05</v>
      </c>
      <c r="C4" s="5" t="n">
        <v>0.1238</v>
      </c>
      <c r="D4" s="5" t="n">
        <v>0.1528</v>
      </c>
      <c r="E4" s="5" t="n">
        <v>0.1765</v>
      </c>
      <c r="F4" s="5" t="n">
        <v>0.1989</v>
      </c>
      <c r="G4" s="5" t="n">
        <v>0.2202</v>
      </c>
    </row>
    <row r="5">
      <c r="B5" s="5" t="n">
        <v>0.055</v>
      </c>
      <c r="C5" s="5" t="n">
        <v>0.0953</v>
      </c>
      <c r="D5" s="5" t="n">
        <v>0.1281</v>
      </c>
      <c r="E5" s="5" t="n">
        <v>0.1548</v>
      </c>
      <c r="F5" s="5" t="n">
        <v>0.177</v>
      </c>
      <c r="G5" s="5" t="n">
        <v>0.1982</v>
      </c>
    </row>
    <row r="6">
      <c r="B6" s="5" t="n">
        <v>0.0575</v>
      </c>
      <c r="C6" s="5" t="n">
        <v>0.08160000000000001</v>
      </c>
      <c r="D6" s="5" t="n">
        <v>0.1159</v>
      </c>
      <c r="E6" s="5" t="n">
        <v>0.144</v>
      </c>
      <c r="F6" s="5" t="n">
        <v>0.167</v>
      </c>
      <c r="G6" s="5" t="n">
        <v>0.1881</v>
      </c>
    </row>
    <row r="7">
      <c r="B7" s="5" t="n">
        <v>0.06</v>
      </c>
      <c r="C7" s="5" t="n">
        <v>0.0653</v>
      </c>
      <c r="D7" s="5" t="n">
        <v>0.103</v>
      </c>
      <c r="E7" s="5" t="n">
        <v>0.1328</v>
      </c>
      <c r="F7" s="5" t="n">
        <v>0.1574</v>
      </c>
      <c r="G7" s="5" t="n">
        <v>0.1785</v>
      </c>
    </row>
    <row r="8">
      <c r="B8" s="5" t="n">
        <v>0.065</v>
      </c>
      <c r="C8" s="5" t="n">
        <v>0.0329</v>
      </c>
      <c r="D8" s="5" t="n">
        <v>0.07820000000000001</v>
      </c>
      <c r="E8" s="5" t="n">
        <v>0.1108</v>
      </c>
      <c r="F8" s="5" t="n">
        <v>0.1379</v>
      </c>
      <c r="G8" s="5" t="n">
        <v>0.1606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2026-06-20T01:04:14Z</dcterms:created>
  <dcterms:modified xmlns:dcterms="http://purl.org/dc/terms/" xmlns:xsi="http://www.w3.org/2001/XMLSchema-instance" xsi:type="dcterms:W3CDTF">2026-06-20T01:04:14Z</dcterms:modified>
</cp:coreProperties>
</file>